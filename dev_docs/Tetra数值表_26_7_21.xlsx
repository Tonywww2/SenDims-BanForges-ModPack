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12044\AppData\Roaming\PrismLauncher\instances\SDBF\minecraft\dev_docs\"/>
    </mc:Choice>
  </mc:AlternateContent>
  <xr:revisionPtr revIDLastSave="0" documentId="13_ncr:1_{04AB5BC9-2463-4BCD-B47A-67B394FF691D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材料" sheetId="1" r:id="rId1"/>
    <sheet name="特殊材料" sheetId="5" r:id="rId2"/>
    <sheet name="Sheet1" sheetId="4" r:id="rId3"/>
    <sheet name="SA" sheetId="2" r:id="rId4"/>
    <sheet name="护甲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5" i="5" l="1"/>
  <c r="L15" i="5"/>
  <c r="J15" i="5"/>
  <c r="I15" i="5"/>
  <c r="M14" i="5"/>
  <c r="L14" i="5"/>
  <c r="K15" i="5" l="1"/>
  <c r="M13" i="5"/>
  <c r="L13" i="5"/>
  <c r="M12" i="5"/>
  <c r="L12" i="5"/>
  <c r="M11" i="5"/>
  <c r="L11" i="5"/>
  <c r="I7" i="5"/>
  <c r="I6" i="5"/>
  <c r="J6" i="5" s="1"/>
  <c r="I5" i="5"/>
  <c r="I4" i="5"/>
  <c r="I3" i="5"/>
  <c r="I2" i="5"/>
  <c r="I14" i="5" s="1"/>
  <c r="N114" i="1"/>
  <c r="M114" i="1"/>
  <c r="N113" i="1"/>
  <c r="M113" i="1"/>
  <c r="N102" i="1"/>
  <c r="M102" i="1"/>
  <c r="N101" i="1"/>
  <c r="M101" i="1"/>
  <c r="N107" i="1"/>
  <c r="M107" i="1"/>
  <c r="N108" i="1"/>
  <c r="M108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K14" i="5" l="1"/>
  <c r="K3" i="5"/>
  <c r="J14" i="5"/>
  <c r="J2" i="5"/>
  <c r="J3" i="5"/>
  <c r="J11" i="5"/>
  <c r="I11" i="5"/>
  <c r="I12" i="5"/>
  <c r="J12" i="5"/>
  <c r="J13" i="5"/>
  <c r="I13" i="5"/>
  <c r="K2" i="5"/>
  <c r="M91" i="1"/>
  <c r="N91" i="1"/>
  <c r="M85" i="1"/>
  <c r="N85" i="1"/>
  <c r="M62" i="1"/>
  <c r="N62" i="1"/>
  <c r="K13" i="5" l="1"/>
  <c r="K11" i="5"/>
  <c r="K12" i="5"/>
  <c r="O13" i="3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6" i="1"/>
  <c r="M106" i="1"/>
  <c r="N105" i="1"/>
  <c r="M105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8" i="1"/>
  <c r="J113" i="1"/>
  <c r="J114" i="1"/>
  <c r="K102" i="1"/>
  <c r="K101" i="1"/>
  <c r="J102" i="1"/>
  <c r="J101" i="1"/>
  <c r="L101" i="1" s="1"/>
  <c r="J107" i="1"/>
  <c r="K107" i="1"/>
  <c r="J100" i="1"/>
  <c r="J108" i="1"/>
  <c r="K100" i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6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6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5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5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00" i="1" l="1"/>
  <c r="L102" i="1"/>
  <c r="L108" i="1"/>
  <c r="L114" i="1"/>
  <c r="L113" i="1"/>
  <c r="L145" i="1"/>
  <c r="L107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5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6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<sst xmlns="http://schemas.openxmlformats.org/spreadsheetml/2006/main" count="840" uniqueCount="501">
  <si>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</si>
  <si>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</si>
  <si>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</si>
  <si>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</si>
  <si>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</si>
  <si>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</si>
  <si>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</si>
  <si>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</si>
  <si>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</si>
  <si>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</si>
  <si>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</si>
  <si>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</si>
  <si>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</si>
  <si>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</si>
  <si>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</si>
  <si>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</si>
  <si>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</si>
  <si>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</si>
  <si>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</si>
  <si>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</si>
  <si>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</si>
  <si>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</si>
  <si>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</si>
  <si>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</si>
  <si>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</si>
  <si>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</si>
  <si>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</si>
  <si>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</si>
  <si>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</si>
  <si>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</si>
  <si>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</si>
  <si>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</si>
  <si>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</si>
  <si>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</si>
  <si>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</si>
  <si>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</si>
  <si>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</si>
  <si>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</si>
  <si>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</si>
  <si>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</si>
  <si>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</si>
  <si>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</si>
  <si>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</si>
  <si>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</si>
  <si>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</si>
  <si>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</si>
  <si>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</si>
  <si>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</si>
  <si>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</si>
  <si>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</si>
  <si>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</si>
  <si>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</si>
  <si>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</si>
  <si>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</si>
  <si>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</si>
  <si>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</si>
  <si>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</si>
  <si>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</si>
  <si>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</si>
  <si>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</si>
  <si>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</si>
  <si>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</si>
  <si>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</si>
  <si>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</si>
  <si>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</si>
  <si>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</si>
  <si>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</si>
  <si>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</si>
  <si>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</si>
  <si>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</si>
  <si>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</si>
  <si>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</si>
  <si>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</si>
  <si>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</si>
  <si>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</si>
  <si>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</si>
  <si>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</si>
  <si>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</si>
  <si>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</si>
  <si>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</si>
  <si>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</si>
  <si>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</si>
  <si>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</si>
  <si>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</si>
  <si>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</si>
  <si>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</si>
  <si>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</si>
  <si>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</si>
  <si>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</si>
  <si>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</si>
  <si>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</si>
  <si>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</si>
  <si>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</si>
  <si>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</si>
  <si>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</si>
  <si>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</si>
  <si>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</si>
  <si>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</si>
  <si>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</si>
  <si>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</si>
  <si>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</si>
  <si>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</si>
  <si>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</si>
  <si>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</si>
  <si>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</si>
  <si>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</si>
  <si>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</si>
  <si>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</si>
  <si>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</si>
  <si>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</si>
  <si>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</si>
  <si>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</si>
  <si>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</si>
  <si>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</si>
  <si>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</si>
  <si>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</si>
  <si>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</si>
  <si>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</si>
  <si>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</si>
  <si>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</si>
  <si>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</si>
  <si>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</si>
  <si>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</si>
  <si>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</si>
  <si>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</si>
  <si>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</si>
  <si>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</si>
  <si>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</si>
  <si>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</si>
  <si>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</si>
  <si>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</si>
  <si>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</si>
  <si>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</si>
  <si>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</si>
  <si>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</si>
  <si>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</si>
  <si>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</si>
  <si>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</si>
  <si>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</si>
  <si>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</si>
  <si>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</si>
  <si>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</si>
  <si>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</si>
  <si>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</si>
  <si>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</si>
  <si>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</si>
  <si>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</si>
  <si>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</si>
  <si>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</si>
  <si>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</si>
  <si>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</si>
  <si>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</si>
  <si>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</si>
  <si>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</si>
  <si>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</si>
  <si>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</si>
  <si>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</si>
  <si>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</si>
  <si>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</si>
  <si>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</si>
  <si>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</si>
  <si>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</si>
  <si>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</si>
  <si>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</si>
  <si>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</si>
  <si>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</si>
  <si>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</si>
  <si>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</si>
  <si>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</si>
  <si>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</si>
  <si>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</si>
  <si>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</si>
  <si>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</si>
  <si>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</si>
  <si>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</si>
  <si>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</si>
  <si>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</si>
  <si>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</si>
  <si>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</si>
  <si>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</si>
  <si>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</si>
  <si>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</si>
  <si>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</si>
  <si>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</si>
  <si>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</si>
  <si>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</si>
  <si>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</si>
  <si>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</si>
  <si>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</si>
  <si>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</si>
  <si>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</si>
  <si>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</si>
  <si>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</si>
  <si>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</si>
  <si>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</si>
  <si>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</si>
  <si>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</si>
  <si>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</si>
  <si>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</si>
  <si>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</si>
  <si>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</si>
  <si>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</si>
  <si>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</si>
  <si>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</si>
  <si>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</si>
  <si>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</si>
  <si>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</si>
  <si>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</si>
  <si>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</si>
  <si>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</si>
  <si>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</si>
  <si>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</si>
  <si>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</si>
  <si>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</si>
  <si>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</si>
  <si>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</si>
  <si>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</si>
  <si>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</si>
  <si>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</si>
  <si>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</si>
  <si>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</si>
  <si>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</si>
  <si>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</si>
  <si>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</si>
  <si>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</si>
  <si>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</si>
  <si>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</si>
  <si>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</si>
  <si>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</si>
  <si>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</si>
  <si>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</si>
  <si>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</si>
  <si>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</si>
  <si>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</si>
  <si>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</si>
  <si>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</si>
  <si>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</si>
  <si>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</si>
  <si>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</si>
  <si>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</si>
  <si>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</si>
  <si>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</si>
  <si>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</si>
  <si>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</si>
  <si>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</si>
  <si>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</si>
  <si>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</si>
  <si>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</si>
  <si>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</si>
  <si>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</si>
  <si>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</si>
  <si>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</si>
  <si>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</si>
  <si>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</si>
  <si>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</si>
  <si>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</si>
  <si>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</si>
  <si>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</si>
  <si>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</si>
  <si>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</si>
  <si>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</si>
  <si>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</si>
  <si>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</si>
  <si>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</si>
  <si>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</si>
  <si>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</si>
  <si>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</si>
  <si>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</si>
  <si>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</si>
  <si>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</si>
  <si>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</si>
  <si>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</si>
  <si>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</si>
  <si>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</si>
  <si>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</si>
  <si>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</si>
  <si>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family val="3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</si>
  <si>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</si>
  <si>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</si>
  <si>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</si>
  <si>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</si>
  <si>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</si>
  <si>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family val="3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</si>
  <si>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family val="3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</si>
  <si>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</si>
  <si>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</si>
  <si>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</si>
  <si>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</si>
  <si>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</si>
  <si>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</si>
  <si>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</si>
  <si>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</si>
  <si>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</si>
  <si>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</si>
  <si>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</si>
  <si>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</si>
  <si>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</si>
  <si>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</si>
  <si>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</si>
  <si>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</si>
  <si>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</si>
  <si>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</si>
  <si>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</si>
  <si>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</si>
  <si>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</si>
  <si>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</si>
  <si>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</si>
  <si>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</si>
  <si>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</si>
  <si>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</si>
  <si>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</si>
  <si>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family val="3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</si>
  <si>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</si>
  <si>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</si>
  <si>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</si>
  <si>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</si>
  <si>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</si>
  <si>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</si>
  <si>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</si>
  <si>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</si>
  <si>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</si>
  <si>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</si>
  <si>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</si>
  <si>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</si>
  <si>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</si>
  <si>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</si>
  <si>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</si>
  <si>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</si>
  <si>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</si>
  <si>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</si>
  <si>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</si>
  <si>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</si>
  <si>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</si>
  <si>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</si>
  <si>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</si>
  <si>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</si>
  <si>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</si>
  <si>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</si>
  <si>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</si>
  <si>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</si>
  <si>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</si>
  <si>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</si>
  <si>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</si>
  <si>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</si>
  <si>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</si>
  <si>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</si>
  <si>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</si>
  <si>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</si>
  <si>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</si>
  <si>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</si>
  <si>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</si>
  <si>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</si>
  <si>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</si>
  <si>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</si>
  <si>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</si>
  <si>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</si>
  <si>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</si>
  <si>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</si>
  <si>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</si>
  <si>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</si>
  <si>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</si>
  <si>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</si>
  <si>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</si>
  <si>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</si>
  <si>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</si>
  <si>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</si>
  <si>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</si>
  <si>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</si>
  <si>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</si>
  <si>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</si>
  <si>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</si>
  <si>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</si>
  <si>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</si>
  <si>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</si>
  <si>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</si>
  <si>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</si>
  <si>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</si>
  <si>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</si>
  <si>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</si>
  <si>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</si>
  <si>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</si>
  <si>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</si>
  <si>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</si>
  <si>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</si>
  <si>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</si>
  <si>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</si>
  <si>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</si>
  <si>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</si>
  <si>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</si>
  <si>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</si>
  <si>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</si>
  <si>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</si>
  <si>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</si>
  <si>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</si>
  <si>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</si>
  <si>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</si>
  <si>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</si>
  <si>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</si>
  <si>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</si>
  <si>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</si>
  <si>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</si>
  <si>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</si>
  <si>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</si>
  <si>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</si>
  <si>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</si>
  <si>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</si>
  <si>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</si>
  <si>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</si>
  <si>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</si>
  <si>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</si>
  <si>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</si>
  <si>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</si>
  <si>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family val="3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</si>
  <si>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</si>
  <si>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</si>
  <si>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</si>
  <si>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</si>
  <si>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</si>
  <si>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</si>
  <si>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</si>
  <si>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</si>
  <si>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</si>
  <si>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</si>
  <si>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</si>
  <si>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</si>
  <si>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</si>
  <si>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</si>
  <si>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</si>
  <si>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</si>
  <si>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</si>
  <si>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</si>
  <si>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</si>
  <si>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</si>
  <si>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</si>
  <si>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</si>
  <si>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</si>
  <si>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</si>
  <si>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</si>
  <si>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</si>
  <si>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</si>
  <si>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</si>
  <si>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</si>
  <si>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</si>
  <si>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</si>
  <si>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</si>
  <si>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</si>
  <si>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</si>
  <si>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</si>
  <si>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</si>
  <si>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</si>
  <si>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</si>
  <si>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</si>
  <si>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</si>
  <si>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</si>
  <si>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</si>
  <si>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</si>
  <si>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</si>
  <si>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</si>
  <si>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</si>
  <si>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</si>
  <si>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</si>
  <si>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</si>
  <si>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</si>
  <si>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</si>
  <si>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</si>
  <si>
    <t>'#forge:ingots/terrasteel'</t>
    <phoneticPr fontId="1" type="noConversion"/>
  </si>
  <si>
    <t>护盾2部件</t>
    <phoneticPr fontId="1" type="noConversion"/>
  </si>
  <si>
    <t>镶嵌+裹柄2部件</t>
    <phoneticPr fontId="1" type="noConversion"/>
  </si>
  <si>
    <t>总共10+4+2+2=18部件，默认10+2=12部件，总元素伤害=x*12</t>
    <phoneticPr fontId="1" type="noConversion"/>
  </si>
  <si>
    <t>暴击率+0.03</t>
    <phoneticPr fontId="1" type="noConversion"/>
  </si>
  <si>
    <t>暴击率+0.025</t>
    <phoneticPr fontId="1" type="noConversion"/>
  </si>
  <si>
    <t>M</t>
    <phoneticPr fontId="1" type="noConversion"/>
  </si>
  <si>
    <t>通量注入64k</t>
    <phoneticPr fontId="1" type="noConversion"/>
  </si>
  <si>
    <t>通量注入32k</t>
    <phoneticPr fontId="1" type="noConversion"/>
  </si>
  <si>
    <t>通量注入24k</t>
    <phoneticPr fontId="1" type="noConversion"/>
  </si>
  <si>
    <t>通量注入18k</t>
    <phoneticPr fontId="1" type="noConversion"/>
  </si>
  <si>
    <t>实装标记</t>
    <phoneticPr fontId="3" type="noConversion"/>
  </si>
  <si>
    <t>M/X/R</t>
    <phoneticPr fontId="3" type="noConversion"/>
  </si>
  <si>
    <t>魔法穿透+1</t>
    <phoneticPr fontId="3" type="noConversion"/>
  </si>
  <si>
    <t>护甲穿透+1</t>
    <phoneticPr fontId="3" type="noConversion"/>
  </si>
  <si>
    <t>chaos_anchor</t>
    <phoneticPr fontId="3" type="noConversion"/>
  </si>
  <si>
    <t>进度阶段</t>
    <phoneticPr fontId="3" type="noConversion"/>
  </si>
  <si>
    <t>难度阶段</t>
    <phoneticPr fontId="3" type="noConversion"/>
  </si>
  <si>
    <t>1.3.2</t>
    <phoneticPr fontId="3" type="noConversion"/>
  </si>
  <si>
    <t>冰冻伤害+3</t>
    <phoneticPr fontId="3" type="noConversion"/>
  </si>
  <si>
    <t>吸血+0.0001</t>
    <phoneticPr fontId="3" type="noConversion"/>
  </si>
  <si>
    <t>1.1.4</t>
    <phoneticPr fontId="3" type="noConversion"/>
  </si>
  <si>
    <t>流血+6</t>
    <phoneticPr fontId="3" type="noConversion"/>
  </si>
  <si>
    <t>fantasy_bubble</t>
    <phoneticPr fontId="3" type="noConversion"/>
  </si>
  <si>
    <t>dream_cat</t>
    <phoneticPr fontId="3" type="noConversion"/>
  </si>
  <si>
    <t>时运+1.5</t>
    <phoneticPr fontId="3" type="noConversion"/>
  </si>
  <si>
    <t>幸运+0.1</t>
    <phoneticPr fontId="3" type="noConversion"/>
  </si>
  <si>
    <t>stationary_matter</t>
    <phoneticPr fontId="3" type="noConversion"/>
  </si>
  <si>
    <t>1.3.1</t>
    <phoneticPr fontId="3" type="noConversion"/>
  </si>
  <si>
    <t>全属性+0.001</t>
    <phoneticPr fontId="3" type="noConversion"/>
  </si>
  <si>
    <t>护甲穿透+1</t>
    <phoneticPr fontId="1" type="noConversion"/>
  </si>
  <si>
    <t>flammable_ingot</t>
    <phoneticPr fontId="3" type="noConversion"/>
  </si>
  <si>
    <t>2.2.1</t>
    <phoneticPr fontId="3" type="noConversion"/>
  </si>
  <si>
    <t>附魔：火焰保护I</t>
    <phoneticPr fontId="3" type="noConversion"/>
  </si>
  <si>
    <t>附魔：火焰附加I</t>
    <phoneticPr fontId="3" type="noConversion"/>
  </si>
  <si>
    <t>火焰伤害+4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</si>
</sst>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0" borderId="0" xfId="0" applyFont="1"/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zoomScaleNormal="100" workbookViewId="0">
      <pane xSplit="6" ySplit="10" topLeftCell="G104" activePane="bottomRight" state="frozen"/>
      <selection pane="topRight"/>
      <selection pane="bottomLeft"/>
      <selection pane="bottomRight" activeCell="J119" sqref="J119"/>
    </sheetView>
  </sheetViews>
  <sheetFormatPr defaultColWidth="16.6640625" defaultRowHeight="20.100000000000001" customHeight="1" x14ac:dyDescent="0.25"/>
  <cols>
    <col min="1" max="3" width="8.6640625" style="3" customWidth="1"/>
    <col min="4" max="5" width="16.6640625" style="3" customWidth="1"/>
    <col min="6" max="6" width="8.6640625" style="3" customWidth="1"/>
    <col min="7" max="16" width="12.6640625" style="3" customWidth="1"/>
    <col min="17" max="19" width="15.6640625" style="3" customWidth="1"/>
    <col min="20" max="16384" width="16.6640625" style="3"/>
  </cols>
  <sheetData>
    <row r="1" spans="1:24" ht="20.100000000000001" customHeight="1" x14ac:dyDescent="0.25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317</v>
      </c>
      <c r="U1" s="34" t="s">
        <v>268</v>
      </c>
      <c r="V1" s="34"/>
    </row>
    <row r="2" spans="1:24" ht="20.100000000000001" customHeight="1" x14ac:dyDescent="0.25">
      <c r="C2" s="3" t="s">
        <v>11</v>
      </c>
      <c r="D2" s="3" t="s">
        <v>12</v>
      </c>
      <c r="E2" s="9">
        <v>1.35</v>
      </c>
      <c r="F2" s="9">
        <v>0.4</v>
      </c>
      <c r="G2" s="9">
        <v>0.25</v>
      </c>
      <c r="H2" s="9">
        <v>0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318</v>
      </c>
      <c r="U2" s="34" t="s">
        <v>468</v>
      </c>
      <c r="V2" s="34"/>
      <c r="W2" s="34"/>
      <c r="X2" s="34"/>
    </row>
    <row r="3" spans="1:24" ht="20.100000000000001" customHeight="1" x14ac:dyDescent="0.25">
      <c r="D3" s="3" t="s">
        <v>15</v>
      </c>
      <c r="E3" s="9">
        <v>0.15</v>
      </c>
      <c r="F3" s="9">
        <v>0.1</v>
      </c>
      <c r="G3" s="9">
        <v>0.25</v>
      </c>
      <c r="H3" s="9">
        <v>0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4" t="s">
        <v>329</v>
      </c>
      <c r="V3" s="35"/>
      <c r="W3" s="35"/>
      <c r="X3" s="35"/>
    </row>
    <row r="4" spans="1:24" ht="20.100000000000001" customHeight="1" x14ac:dyDescent="0.25">
      <c r="C4" s="3" t="s">
        <v>25</v>
      </c>
      <c r="D4" s="3" t="s">
        <v>12</v>
      </c>
      <c r="E4" s="9">
        <v>0</v>
      </c>
      <c r="F4" s="9">
        <v>0.25</v>
      </c>
      <c r="G4" s="9">
        <v>0.25</v>
      </c>
      <c r="H4" s="9">
        <v>0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  <c r="U4" s="24" t="s">
        <v>466</v>
      </c>
      <c r="V4" s="24" t="s">
        <v>467</v>
      </c>
    </row>
    <row r="5" spans="1:24" ht="20.100000000000001" customHeight="1" x14ac:dyDescent="0.25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401</v>
      </c>
      <c r="R5" s="3" t="s">
        <v>27</v>
      </c>
    </row>
    <row r="6" spans="1:24" ht="20.100000000000001" customHeight="1" x14ac:dyDescent="0.25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5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400</v>
      </c>
      <c r="Q7" s="24" t="s">
        <v>416</v>
      </c>
      <c r="R7" s="24" t="s">
        <v>417</v>
      </c>
    </row>
    <row r="8" spans="1:24" ht="20.100000000000001" customHeight="1" x14ac:dyDescent="0.25">
      <c r="F8" s="3" t="s">
        <v>29</v>
      </c>
      <c r="P8" s="3" t="s">
        <v>14</v>
      </c>
      <c r="Q8" s="3" t="s">
        <v>14</v>
      </c>
      <c r="R8" s="24" t="s">
        <v>418</v>
      </c>
    </row>
    <row r="9" spans="1:24" ht="20.100000000000001" customHeight="1" x14ac:dyDescent="0.25">
      <c r="F9" s="3" t="s">
        <v>30</v>
      </c>
      <c r="G9" s="3" t="s">
        <v>12</v>
      </c>
      <c r="H9" s="3" t="s">
        <v>15</v>
      </c>
      <c r="I9" s="3" t="s">
        <v>22</v>
      </c>
      <c r="W9" s="3" t="s">
        <v>321</v>
      </c>
    </row>
    <row r="10" spans="1:24" ht="20.100000000000001" customHeight="1" x14ac:dyDescent="0.25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319</v>
      </c>
      <c r="W10" s="3" t="s">
        <v>286</v>
      </c>
    </row>
    <row r="11" spans="1:24" ht="20.100000000000001" customHeight="1" x14ac:dyDescent="0.25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5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5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5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5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5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3" ht="20.100000000000001" customHeight="1" x14ac:dyDescent="0.25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3" ht="20.100000000000001" customHeight="1" x14ac:dyDescent="0.25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3" ht="20.100000000000001" customHeight="1" x14ac:dyDescent="0.25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3" ht="20.100000000000001" customHeight="1" x14ac:dyDescent="0.25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3" ht="20.100000000000001" customHeight="1" x14ac:dyDescent="0.25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347</v>
      </c>
      <c r="R21" s="9"/>
      <c r="S21" s="9"/>
      <c r="U21" s="24"/>
    </row>
    <row r="22" spans="1:23" ht="20.100000000000001" customHeight="1" x14ac:dyDescent="0.25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23" t="s">
        <v>470</v>
      </c>
      <c r="R22" s="9"/>
      <c r="S22" s="9"/>
      <c r="W22" s="24"/>
    </row>
    <row r="23" spans="1:23" ht="20.100000000000001" customHeight="1" x14ac:dyDescent="0.25">
      <c r="C23" s="5" t="s">
        <v>78</v>
      </c>
      <c r="D23" s="5"/>
      <c r="E23" s="5" t="s">
        <v>81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82</v>
      </c>
      <c r="R23" s="9"/>
      <c r="S23" s="9"/>
    </row>
    <row r="24" spans="1:23" ht="20.100000000000001" customHeight="1" x14ac:dyDescent="0.25">
      <c r="A24" s="3">
        <v>6</v>
      </c>
      <c r="B24" s="3">
        <v>8</v>
      </c>
      <c r="C24" s="12" t="s">
        <v>83</v>
      </c>
      <c r="D24" s="12"/>
      <c r="E24" s="12" t="s">
        <v>84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85</v>
      </c>
      <c r="R24" s="9" t="s">
        <v>86</v>
      </c>
      <c r="S24" s="9"/>
    </row>
    <row r="25" spans="1:23" ht="20.100000000000001" customHeight="1" x14ac:dyDescent="0.25">
      <c r="C25" s="12" t="s">
        <v>83</v>
      </c>
      <c r="D25" s="12"/>
      <c r="E25" s="12" t="s">
        <v>87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88</v>
      </c>
      <c r="R25" s="23"/>
      <c r="S25" s="9"/>
      <c r="U25" s="24"/>
    </row>
    <row r="26" spans="1:23" ht="20.100000000000001" customHeight="1" x14ac:dyDescent="0.25">
      <c r="C26" s="12" t="s">
        <v>83</v>
      </c>
      <c r="D26" s="12"/>
      <c r="E26" s="12" t="s">
        <v>89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90</v>
      </c>
      <c r="R26" s="23" t="s">
        <v>360</v>
      </c>
      <c r="S26" s="9"/>
      <c r="U26" s="24"/>
    </row>
    <row r="27" spans="1:23" ht="20.100000000000001" customHeight="1" x14ac:dyDescent="0.25">
      <c r="A27" s="3">
        <v>8</v>
      </c>
      <c r="B27" s="3">
        <v>9</v>
      </c>
      <c r="C27" s="5" t="s">
        <v>91</v>
      </c>
      <c r="D27" s="5"/>
      <c r="E27" s="5" t="s">
        <v>92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90</v>
      </c>
      <c r="R27" s="9"/>
      <c r="S27" s="9"/>
    </row>
    <row r="28" spans="1:23" ht="20.100000000000001" customHeight="1" x14ac:dyDescent="0.25">
      <c r="C28" s="5" t="s">
        <v>91</v>
      </c>
      <c r="D28" s="5"/>
      <c r="E28" s="5" t="s">
        <v>93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88</v>
      </c>
      <c r="R28" s="9"/>
      <c r="S28" s="9"/>
    </row>
    <row r="29" spans="1:23" ht="20.100000000000001" customHeight="1" x14ac:dyDescent="0.25">
      <c r="C29" s="5" t="s">
        <v>91</v>
      </c>
      <c r="D29" s="5"/>
      <c r="E29" s="5" t="s">
        <v>94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95</v>
      </c>
      <c r="R29" s="9"/>
      <c r="S29" s="9"/>
    </row>
    <row r="30" spans="1:23" ht="20.100000000000001" customHeight="1" x14ac:dyDescent="0.25">
      <c r="A30" s="3">
        <v>9</v>
      </c>
      <c r="B30" s="3">
        <v>10</v>
      </c>
      <c r="C30" s="12" t="s">
        <v>96</v>
      </c>
      <c r="D30" s="12"/>
      <c r="E30" s="12" t="s">
        <v>97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98</v>
      </c>
      <c r="R30" s="23" t="s">
        <v>351</v>
      </c>
      <c r="S30" s="9"/>
      <c r="U30" s="24"/>
    </row>
    <row r="31" spans="1:23" ht="20.100000000000001" customHeight="1" x14ac:dyDescent="0.25">
      <c r="C31" s="12" t="s">
        <v>96</v>
      </c>
      <c r="D31" s="12"/>
      <c r="E31" s="12" t="s">
        <v>99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85</v>
      </c>
      <c r="R31" s="23" t="s">
        <v>356</v>
      </c>
      <c r="S31" s="9"/>
      <c r="U31" s="24"/>
    </row>
    <row r="32" spans="1:23" ht="20.100000000000001" customHeight="1" x14ac:dyDescent="0.25">
      <c r="A32" s="3">
        <v>8</v>
      </c>
      <c r="B32" s="3">
        <v>12</v>
      </c>
      <c r="C32" s="5" t="s">
        <v>100</v>
      </c>
      <c r="D32" s="5" t="s">
        <v>101</v>
      </c>
      <c r="E32" s="5" t="s">
        <v>102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103</v>
      </c>
      <c r="R32" s="9"/>
      <c r="S32" s="9"/>
    </row>
    <row r="33" spans="1:23" ht="20.100000000000001" customHeight="1" x14ac:dyDescent="0.25">
      <c r="C33" s="5" t="s">
        <v>100</v>
      </c>
      <c r="D33" s="5" t="s">
        <v>104</v>
      </c>
      <c r="E33" s="5" t="s">
        <v>105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106</v>
      </c>
      <c r="R33" s="9"/>
      <c r="S33" s="9"/>
    </row>
    <row r="34" spans="1:23" ht="20.100000000000001" customHeight="1" x14ac:dyDescent="0.25">
      <c r="C34" s="5" t="s">
        <v>100</v>
      </c>
      <c r="D34" s="5" t="s">
        <v>107</v>
      </c>
      <c r="E34" s="5" t="s">
        <v>108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348</v>
      </c>
      <c r="R34" s="9"/>
      <c r="S34" s="9"/>
      <c r="U34" s="24"/>
    </row>
    <row r="35" spans="1:23" ht="20.100000000000001" customHeight="1" x14ac:dyDescent="0.25">
      <c r="A35" s="3">
        <v>9</v>
      </c>
      <c r="B35" s="3">
        <v>12.5</v>
      </c>
      <c r="C35" s="12" t="s">
        <v>109</v>
      </c>
      <c r="D35" s="12" t="s">
        <v>110</v>
      </c>
      <c r="E35" s="12" t="s">
        <v>111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112</v>
      </c>
      <c r="R35" s="23" t="s">
        <v>350</v>
      </c>
      <c r="S35" s="9"/>
      <c r="U35" s="24"/>
    </row>
    <row r="36" spans="1:23" ht="20.100000000000001" customHeight="1" x14ac:dyDescent="0.25">
      <c r="C36" s="12" t="s">
        <v>109</v>
      </c>
      <c r="D36" s="12" t="s">
        <v>113</v>
      </c>
      <c r="E36" s="12" t="s">
        <v>114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115</v>
      </c>
      <c r="R36" s="9"/>
      <c r="S36" s="9"/>
    </row>
    <row r="37" spans="1:23" ht="20.100000000000001" customHeight="1" x14ac:dyDescent="0.25">
      <c r="C37" s="12" t="s">
        <v>109</v>
      </c>
      <c r="D37" s="12" t="s">
        <v>116</v>
      </c>
      <c r="E37" s="12" t="s">
        <v>117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118</v>
      </c>
      <c r="R37" s="9"/>
      <c r="S37" s="9"/>
    </row>
    <row r="38" spans="1:23" ht="20.100000000000001" customHeight="1" x14ac:dyDescent="0.25">
      <c r="A38" s="3">
        <v>10</v>
      </c>
      <c r="B38" s="3">
        <v>13</v>
      </c>
      <c r="C38" s="5" t="s">
        <v>119</v>
      </c>
      <c r="D38" s="5" t="s">
        <v>120</v>
      </c>
      <c r="E38" s="5" t="s">
        <v>121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3" ht="20.100000000000001" customHeight="1" x14ac:dyDescent="0.25">
      <c r="C39" s="5" t="s">
        <v>119</v>
      </c>
      <c r="D39" s="5" t="s">
        <v>122</v>
      </c>
      <c r="E39" s="5" t="s">
        <v>123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124</v>
      </c>
      <c r="R39" s="9"/>
      <c r="S39" s="9"/>
    </row>
    <row r="40" spans="1:23" ht="20.100000000000001" customHeight="1" x14ac:dyDescent="0.25">
      <c r="C40" s="5" t="s">
        <v>119</v>
      </c>
      <c r="D40" s="5" t="s">
        <v>125</v>
      </c>
      <c r="E40" s="5" t="s">
        <v>126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349</v>
      </c>
      <c r="R40" s="9"/>
      <c r="S40" s="9"/>
      <c r="U40" s="24"/>
    </row>
    <row r="41" spans="1:23" ht="20.100000000000001" customHeight="1" x14ac:dyDescent="0.25">
      <c r="A41" s="3">
        <v>11</v>
      </c>
      <c r="B41" s="3">
        <v>13.5</v>
      </c>
      <c r="C41" s="12" t="s">
        <v>127</v>
      </c>
      <c r="D41" s="12" t="s">
        <v>128</v>
      </c>
      <c r="E41" s="12" t="s">
        <v>129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130</v>
      </c>
      <c r="R41" s="9"/>
      <c r="S41" s="9"/>
    </row>
    <row r="42" spans="1:23" ht="20.100000000000001" customHeight="1" x14ac:dyDescent="0.25">
      <c r="C42" s="12" t="s">
        <v>127</v>
      </c>
      <c r="D42" s="12" t="s">
        <v>131</v>
      </c>
      <c r="E42" s="12" t="s">
        <v>132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112</v>
      </c>
      <c r="R42" s="23" t="s">
        <v>352</v>
      </c>
      <c r="S42" s="9"/>
      <c r="U42" s="24"/>
    </row>
    <row r="43" spans="1:23" ht="20.100000000000001" customHeight="1" x14ac:dyDescent="0.25">
      <c r="A43" s="3">
        <v>13</v>
      </c>
      <c r="B43" s="3">
        <v>14</v>
      </c>
      <c r="C43" s="5" t="s">
        <v>133</v>
      </c>
      <c r="D43" s="5" t="s">
        <v>134</v>
      </c>
      <c r="E43" s="5" t="s">
        <v>135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23" t="s">
        <v>470</v>
      </c>
      <c r="R43" s="9"/>
      <c r="S43" s="9"/>
      <c r="W43" s="24"/>
    </row>
    <row r="44" spans="1:23" ht="20.100000000000001" customHeight="1" x14ac:dyDescent="0.25">
      <c r="C44" s="5" t="s">
        <v>133</v>
      </c>
      <c r="D44" s="5" t="s">
        <v>136</v>
      </c>
      <c r="E44" s="5" t="s">
        <v>137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353</v>
      </c>
      <c r="R44" s="9"/>
      <c r="S44" s="9"/>
      <c r="U44" s="24"/>
    </row>
    <row r="45" spans="1:23" ht="20.100000000000001" customHeight="1" x14ac:dyDescent="0.25">
      <c r="C45" s="5" t="s">
        <v>133</v>
      </c>
      <c r="D45" s="5" t="s">
        <v>138</v>
      </c>
      <c r="E45" s="5" t="s">
        <v>139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3" ht="20.100000000000001" customHeight="1" x14ac:dyDescent="0.25">
      <c r="C46" s="5" t="s">
        <v>133</v>
      </c>
      <c r="D46" s="22" t="s">
        <v>140</v>
      </c>
      <c r="E46" s="5" t="s">
        <v>141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142</v>
      </c>
      <c r="R46" s="9"/>
      <c r="S46" s="9"/>
    </row>
    <row r="47" spans="1:23" ht="20.100000000000001" customHeight="1" x14ac:dyDescent="0.25">
      <c r="A47" s="3">
        <v>14</v>
      </c>
      <c r="B47" s="3">
        <v>15</v>
      </c>
      <c r="C47" s="12" t="s">
        <v>143</v>
      </c>
      <c r="D47" s="12" t="s">
        <v>144</v>
      </c>
      <c r="E47" s="12" t="s">
        <v>145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146</v>
      </c>
      <c r="R47" s="9"/>
      <c r="S47" s="9"/>
    </row>
    <row r="48" spans="1:23" ht="20.100000000000001" customHeight="1" x14ac:dyDescent="0.25">
      <c r="C48" s="12" t="s">
        <v>143</v>
      </c>
      <c r="D48" s="12" t="s">
        <v>147</v>
      </c>
      <c r="E48" s="12" t="s">
        <v>148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355</v>
      </c>
      <c r="R48" s="9"/>
      <c r="S48" s="9"/>
      <c r="U48" s="24"/>
    </row>
    <row r="49" spans="1:21" ht="20.100000000000001" customHeight="1" x14ac:dyDescent="0.25">
      <c r="A49" s="3">
        <v>16</v>
      </c>
      <c r="B49" s="3">
        <v>16</v>
      </c>
      <c r="C49" s="5" t="s">
        <v>149</v>
      </c>
      <c r="D49" s="5" t="s">
        <v>150</v>
      </c>
      <c r="E49" s="5" t="s">
        <v>151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118</v>
      </c>
      <c r="R49" s="9" t="s">
        <v>152</v>
      </c>
      <c r="S49" s="9"/>
    </row>
    <row r="50" spans="1:21" ht="20.100000000000001" customHeight="1" x14ac:dyDescent="0.25">
      <c r="C50" s="5" t="s">
        <v>149</v>
      </c>
      <c r="D50" s="5" t="s">
        <v>153</v>
      </c>
      <c r="E50" s="5" t="s">
        <v>154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155</v>
      </c>
      <c r="R50" s="9" t="s">
        <v>156</v>
      </c>
      <c r="S50" s="9"/>
    </row>
    <row r="51" spans="1:21" ht="20.100000000000001" customHeight="1" x14ac:dyDescent="0.25">
      <c r="C51" s="5" t="s">
        <v>149</v>
      </c>
      <c r="D51" s="5" t="s">
        <v>157</v>
      </c>
      <c r="E51" s="5" t="s">
        <v>158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159</v>
      </c>
      <c r="R51" s="9"/>
      <c r="S51" s="9"/>
    </row>
    <row r="52" spans="1:21" ht="20.100000000000001" customHeight="1" x14ac:dyDescent="0.25">
      <c r="C52" s="5" t="s">
        <v>149</v>
      </c>
      <c r="D52" s="5" t="s">
        <v>160</v>
      </c>
      <c r="E52" s="5" t="s">
        <v>161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162</v>
      </c>
      <c r="R52" s="9"/>
      <c r="S52" s="9"/>
    </row>
    <row r="53" spans="1:21" ht="20.100000000000001" customHeight="1" x14ac:dyDescent="0.25">
      <c r="A53" s="3">
        <v>19</v>
      </c>
      <c r="B53" s="3">
        <v>18</v>
      </c>
      <c r="C53" s="12" t="s">
        <v>163</v>
      </c>
      <c r="D53" s="12" t="s">
        <v>164</v>
      </c>
      <c r="E53" s="12" t="s">
        <v>165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166</v>
      </c>
      <c r="R53" s="9"/>
      <c r="S53" s="9"/>
    </row>
    <row r="54" spans="1:21" ht="20.100000000000001" customHeight="1" x14ac:dyDescent="0.25">
      <c r="C54" s="12" t="s">
        <v>163</v>
      </c>
      <c r="D54" s="12" t="s">
        <v>167</v>
      </c>
      <c r="E54" s="12" t="s">
        <v>168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356</v>
      </c>
      <c r="R54" s="9"/>
      <c r="S54" s="9"/>
      <c r="U54" s="24"/>
    </row>
    <row r="55" spans="1:21" ht="20.100000000000001" customHeight="1" x14ac:dyDescent="0.25">
      <c r="C55" s="12" t="s">
        <v>163</v>
      </c>
      <c r="D55" s="12" t="s">
        <v>169</v>
      </c>
      <c r="E55" s="12" t="s">
        <v>170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171</v>
      </c>
      <c r="R55" s="9" t="s">
        <v>172</v>
      </c>
      <c r="S55" s="9"/>
    </row>
    <row r="56" spans="1:21" ht="20.100000000000001" customHeight="1" x14ac:dyDescent="0.25">
      <c r="C56" s="5" t="s">
        <v>173</v>
      </c>
      <c r="D56" s="5" t="s">
        <v>174</v>
      </c>
      <c r="E56" s="5" t="s">
        <v>175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142</v>
      </c>
      <c r="R56" s="9"/>
      <c r="S56" s="9"/>
    </row>
    <row r="57" spans="1:21" ht="20.100000000000001" customHeight="1" x14ac:dyDescent="0.25">
      <c r="C57" s="5" t="s">
        <v>173</v>
      </c>
      <c r="D57" s="5" t="s">
        <v>176</v>
      </c>
      <c r="E57" s="5" t="s">
        <v>177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178</v>
      </c>
      <c r="R57" s="23" t="s">
        <v>419</v>
      </c>
      <c r="S57" s="9"/>
    </row>
    <row r="58" spans="1:21" ht="20.100000000000001" customHeight="1" x14ac:dyDescent="0.25">
      <c r="A58" s="3">
        <v>22</v>
      </c>
      <c r="B58" s="3">
        <v>20</v>
      </c>
      <c r="C58" s="12" t="s">
        <v>179</v>
      </c>
      <c r="D58" s="12" t="s">
        <v>180</v>
      </c>
      <c r="E58" s="12" t="s">
        <v>181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23" t="s">
        <v>495</v>
      </c>
      <c r="R58" s="9" t="s">
        <v>182</v>
      </c>
      <c r="S58" s="23" t="s">
        <v>354</v>
      </c>
      <c r="U58" s="24"/>
    </row>
    <row r="59" spans="1:21" ht="20.100000000000001" customHeight="1" x14ac:dyDescent="0.25">
      <c r="A59" s="3">
        <v>14</v>
      </c>
      <c r="B59" s="3">
        <v>15</v>
      </c>
      <c r="C59" s="5" t="s">
        <v>183</v>
      </c>
      <c r="D59" s="5" t="s">
        <v>184</v>
      </c>
      <c r="E59" s="5" t="s">
        <v>185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159</v>
      </c>
      <c r="R59" s="9"/>
      <c r="S59" s="9"/>
    </row>
    <row r="60" spans="1:21" ht="20.100000000000001" customHeight="1" x14ac:dyDescent="0.25">
      <c r="C60" s="5" t="s">
        <v>186</v>
      </c>
      <c r="D60" s="5" t="s">
        <v>187</v>
      </c>
      <c r="E60" s="5" t="s">
        <v>188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189</v>
      </c>
      <c r="S60" s="9"/>
    </row>
    <row r="61" spans="1:21" ht="20.100000000000001" customHeight="1" x14ac:dyDescent="0.25">
      <c r="A61" s="3">
        <v>24</v>
      </c>
      <c r="B61" s="3">
        <v>20</v>
      </c>
      <c r="C61" s="5" t="s">
        <v>190</v>
      </c>
      <c r="D61" s="5" t="s">
        <v>191</v>
      </c>
      <c r="E61" s="5" t="s">
        <v>192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193</v>
      </c>
      <c r="R61" s="9"/>
      <c r="S61" s="9"/>
    </row>
    <row r="62" spans="1:21" ht="20.100000000000001" customHeight="1" x14ac:dyDescent="0.25">
      <c r="C62" s="25" t="s">
        <v>288</v>
      </c>
      <c r="D62" s="5" t="s">
        <v>289</v>
      </c>
      <c r="E62" s="25" t="s">
        <v>290</v>
      </c>
      <c r="F62" s="25" t="s">
        <v>291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292</v>
      </c>
      <c r="R62" s="23" t="s">
        <v>293</v>
      </c>
      <c r="S62" s="9"/>
      <c r="U62" s="24"/>
    </row>
    <row r="63" spans="1:21" ht="20.100000000000001" customHeight="1" x14ac:dyDescent="0.25">
      <c r="A63" s="3">
        <v>24</v>
      </c>
      <c r="B63" s="3">
        <v>20</v>
      </c>
      <c r="C63" s="12" t="s">
        <v>194</v>
      </c>
      <c r="D63" s="21" t="s">
        <v>195</v>
      </c>
      <c r="E63" s="12" t="s">
        <v>196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142</v>
      </c>
      <c r="R63" s="23" t="s">
        <v>357</v>
      </c>
      <c r="S63" s="23" t="s">
        <v>361</v>
      </c>
      <c r="U63" s="24"/>
    </row>
    <row r="64" spans="1:21" ht="20.100000000000001" customHeight="1" x14ac:dyDescent="0.25">
      <c r="A64" s="3">
        <v>29</v>
      </c>
      <c r="B64" s="3">
        <v>30</v>
      </c>
      <c r="C64" s="5" t="s">
        <v>197</v>
      </c>
      <c r="D64" s="5" t="s">
        <v>198</v>
      </c>
      <c r="E64" s="5" t="s">
        <v>199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270</v>
      </c>
      <c r="R64" s="9"/>
      <c r="S64" s="9"/>
    </row>
    <row r="65" spans="1:21" ht="20.100000000000001" customHeight="1" x14ac:dyDescent="0.25">
      <c r="C65" s="5" t="s">
        <v>197</v>
      </c>
      <c r="D65" s="5" t="s">
        <v>200</v>
      </c>
      <c r="E65" s="5" t="s">
        <v>201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269</v>
      </c>
      <c r="R65" s="9"/>
      <c r="S65" s="9"/>
    </row>
    <row r="66" spans="1:21" ht="20.100000000000001" customHeight="1" x14ac:dyDescent="0.25">
      <c r="C66" s="5" t="s">
        <v>197</v>
      </c>
      <c r="D66" s="5" t="s">
        <v>202</v>
      </c>
      <c r="E66" s="5" t="s">
        <v>203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204</v>
      </c>
      <c r="R66" s="9"/>
      <c r="S66" s="9"/>
    </row>
    <row r="67" spans="1:21" ht="20.100000000000001" customHeight="1" x14ac:dyDescent="0.25">
      <c r="C67" s="5" t="s">
        <v>197</v>
      </c>
      <c r="D67" s="5" t="s">
        <v>205</v>
      </c>
      <c r="E67" s="5" t="s">
        <v>206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207</v>
      </c>
      <c r="R67" s="23" t="s">
        <v>358</v>
      </c>
      <c r="S67" s="9"/>
      <c r="U67" s="24"/>
    </row>
    <row r="68" spans="1:21" ht="20.100000000000001" customHeight="1" x14ac:dyDescent="0.25">
      <c r="A68" s="3">
        <v>35</v>
      </c>
      <c r="B68" s="3">
        <v>40</v>
      </c>
      <c r="C68" s="12" t="s">
        <v>208</v>
      </c>
      <c r="D68" s="12" t="s">
        <v>209</v>
      </c>
      <c r="E68" s="12" t="s">
        <v>210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211</v>
      </c>
      <c r="R68" s="9"/>
      <c r="S68" s="9"/>
    </row>
    <row r="69" spans="1:21" ht="20.100000000000001" customHeight="1" x14ac:dyDescent="0.25">
      <c r="C69" s="12" t="s">
        <v>208</v>
      </c>
      <c r="D69" s="12" t="s">
        <v>215</v>
      </c>
      <c r="E69" s="12" t="s">
        <v>216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271</v>
      </c>
      <c r="R69" s="9"/>
      <c r="S69" s="9"/>
    </row>
    <row r="70" spans="1:21" ht="20.100000000000001" customHeight="1" x14ac:dyDescent="0.25">
      <c r="A70" s="3">
        <v>40</v>
      </c>
      <c r="B70" s="3">
        <v>45</v>
      </c>
      <c r="C70" s="5" t="s">
        <v>219</v>
      </c>
      <c r="D70" s="5" t="s">
        <v>220</v>
      </c>
      <c r="E70" s="5" t="s">
        <v>221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155</v>
      </c>
      <c r="R70" s="9" t="s">
        <v>146</v>
      </c>
      <c r="S70" s="9"/>
    </row>
    <row r="71" spans="1:21" ht="20.100000000000001" customHeight="1" x14ac:dyDescent="0.25">
      <c r="C71" s="5" t="s">
        <v>219</v>
      </c>
      <c r="D71" s="5" t="s">
        <v>313</v>
      </c>
      <c r="E71" s="25" t="s">
        <v>314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315</v>
      </c>
      <c r="R71" s="23" t="s">
        <v>316</v>
      </c>
      <c r="S71" s="23" t="s">
        <v>320</v>
      </c>
      <c r="U71" s="24"/>
    </row>
    <row r="72" spans="1:21" ht="20.100000000000001" customHeight="1" x14ac:dyDescent="0.25">
      <c r="C72" s="5" t="s">
        <v>219</v>
      </c>
      <c r="D72" s="5" t="s">
        <v>212</v>
      </c>
      <c r="E72" s="5" t="s">
        <v>213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419</v>
      </c>
      <c r="R72" s="9" t="s">
        <v>172</v>
      </c>
      <c r="S72" s="9" t="s">
        <v>214</v>
      </c>
      <c r="T72" s="24" t="s">
        <v>475</v>
      </c>
      <c r="U72" s="24"/>
    </row>
    <row r="73" spans="1:21" ht="20.100000000000001" customHeight="1" x14ac:dyDescent="0.25">
      <c r="A73" s="3">
        <v>40</v>
      </c>
      <c r="B73" s="3">
        <v>45</v>
      </c>
      <c r="C73" s="12" t="s">
        <v>225</v>
      </c>
      <c r="D73" s="12" t="s">
        <v>223</v>
      </c>
      <c r="E73" s="12" t="s">
        <v>224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325</v>
      </c>
      <c r="R73" s="23" t="s">
        <v>326</v>
      </c>
      <c r="S73" s="9"/>
      <c r="U73" s="24"/>
    </row>
    <row r="74" spans="1:21" ht="20.100000000000001" customHeight="1" x14ac:dyDescent="0.25">
      <c r="C74" s="12" t="s">
        <v>225</v>
      </c>
      <c r="D74" s="12" t="s">
        <v>226</v>
      </c>
      <c r="E74" s="12" t="s">
        <v>227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327</v>
      </c>
      <c r="R74" s="23" t="s">
        <v>273</v>
      </c>
      <c r="S74" s="9"/>
    </row>
    <row r="75" spans="1:21" ht="20.100000000000001" customHeight="1" x14ac:dyDescent="0.25">
      <c r="C75" s="12" t="s">
        <v>225</v>
      </c>
      <c r="D75" s="12" t="s">
        <v>304</v>
      </c>
      <c r="E75" s="12" t="s">
        <v>305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5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204</v>
      </c>
      <c r="R75" s="23" t="s">
        <v>355</v>
      </c>
      <c r="S75" s="9"/>
      <c r="U75" s="24"/>
    </row>
    <row r="76" spans="1:21" ht="20.100000000000001" customHeight="1" x14ac:dyDescent="0.25">
      <c r="C76" s="12" t="s">
        <v>225</v>
      </c>
      <c r="D76" s="12" t="s">
        <v>306</v>
      </c>
      <c r="E76" s="12" t="s">
        <v>307</v>
      </c>
      <c r="F76" s="12" t="s">
        <v>310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311</v>
      </c>
      <c r="R76" s="23" t="s">
        <v>354</v>
      </c>
      <c r="S76" s="9"/>
      <c r="U76" s="24"/>
    </row>
    <row r="77" spans="1:21" ht="20.100000000000001" customHeight="1" x14ac:dyDescent="0.25">
      <c r="A77" s="3">
        <v>50</v>
      </c>
      <c r="B77" s="3">
        <v>60</v>
      </c>
      <c r="C77" s="5" t="s">
        <v>228</v>
      </c>
      <c r="D77" s="29" t="s">
        <v>362</v>
      </c>
      <c r="E77" s="5" t="s">
        <v>230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328</v>
      </c>
      <c r="R77" s="9"/>
      <c r="S77" s="9"/>
      <c r="U77" s="24"/>
    </row>
    <row r="78" spans="1:21" ht="20.100000000000001" customHeight="1" x14ac:dyDescent="0.25">
      <c r="C78" s="5" t="s">
        <v>228</v>
      </c>
      <c r="D78" s="5" t="s">
        <v>229</v>
      </c>
      <c r="E78" s="5" t="s">
        <v>231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282</v>
      </c>
      <c r="R78" s="23" t="s">
        <v>272</v>
      </c>
      <c r="S78" s="9"/>
    </row>
    <row r="79" spans="1:21" ht="20.100000000000001" customHeight="1" x14ac:dyDescent="0.25">
      <c r="C79" s="5" t="s">
        <v>228</v>
      </c>
      <c r="D79" s="5" t="s">
        <v>308</v>
      </c>
      <c r="E79" s="5" t="s">
        <v>309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312</v>
      </c>
      <c r="R79" s="23"/>
      <c r="S79" s="9"/>
      <c r="U79" s="24"/>
    </row>
    <row r="80" spans="1:21" ht="20.100000000000001" customHeight="1" x14ac:dyDescent="0.25">
      <c r="C80" s="5" t="s">
        <v>228</v>
      </c>
      <c r="D80" s="5" t="s">
        <v>247</v>
      </c>
      <c r="E80" s="5" t="s">
        <v>248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345</v>
      </c>
      <c r="R80" s="9"/>
      <c r="S80" s="9"/>
      <c r="U80" s="24"/>
    </row>
    <row r="81" spans="1:23" ht="20.100000000000001" customHeight="1" x14ac:dyDescent="0.25">
      <c r="C81" s="5" t="s">
        <v>228</v>
      </c>
      <c r="D81" s="5" t="s">
        <v>330</v>
      </c>
      <c r="E81" s="5" t="s">
        <v>331</v>
      </c>
      <c r="F81" s="5" t="s">
        <v>291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222</v>
      </c>
      <c r="R81" s="9" t="s">
        <v>211</v>
      </c>
      <c r="S81" s="9"/>
      <c r="U81" s="24"/>
    </row>
    <row r="82" spans="1:23" ht="20.100000000000001" customHeight="1" x14ac:dyDescent="0.25">
      <c r="A82" s="3">
        <v>60</v>
      </c>
      <c r="B82" s="3">
        <v>65</v>
      </c>
      <c r="C82" s="12" t="s">
        <v>322</v>
      </c>
      <c r="D82" s="12" t="s">
        <v>333</v>
      </c>
      <c r="E82" s="12" t="s">
        <v>334</v>
      </c>
      <c r="F82" s="12" t="s">
        <v>291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232</v>
      </c>
      <c r="R82" s="9" t="s">
        <v>233</v>
      </c>
      <c r="S82" s="9"/>
    </row>
    <row r="83" spans="1:23" ht="20.100000000000001" customHeight="1" x14ac:dyDescent="0.25">
      <c r="C83" s="12" t="s">
        <v>322</v>
      </c>
      <c r="D83" s="12" t="s">
        <v>335</v>
      </c>
      <c r="E83" s="12" t="s">
        <v>336</v>
      </c>
      <c r="F83" s="12" t="s">
        <v>291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274</v>
      </c>
      <c r="R83" s="9" t="s">
        <v>103</v>
      </c>
      <c r="S83" s="9"/>
    </row>
    <row r="84" spans="1:23" ht="20.100000000000001" customHeight="1" x14ac:dyDescent="0.25">
      <c r="C84" s="12" t="s">
        <v>322</v>
      </c>
      <c r="D84" s="12" t="s">
        <v>337</v>
      </c>
      <c r="E84" s="12" t="s">
        <v>338</v>
      </c>
      <c r="F84" s="12" t="s">
        <v>291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276</v>
      </c>
      <c r="R84" s="23" t="s">
        <v>275</v>
      </c>
      <c r="S84" s="9"/>
    </row>
    <row r="85" spans="1:23" ht="20.100000000000001" customHeight="1" x14ac:dyDescent="0.25">
      <c r="C85" s="12" t="s">
        <v>294</v>
      </c>
      <c r="D85" s="12" t="s">
        <v>339</v>
      </c>
      <c r="E85" s="12" t="s">
        <v>295</v>
      </c>
      <c r="F85" s="12" t="s">
        <v>291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419</v>
      </c>
      <c r="R85" s="23" t="s">
        <v>301</v>
      </c>
      <c r="S85" s="9"/>
      <c r="U85" s="24"/>
    </row>
    <row r="86" spans="1:23" ht="20.100000000000001" customHeight="1" x14ac:dyDescent="0.25">
      <c r="C86" s="12" t="s">
        <v>294</v>
      </c>
      <c r="D86" s="12" t="s">
        <v>340</v>
      </c>
      <c r="E86" s="12" t="s">
        <v>341</v>
      </c>
      <c r="F86" s="12" t="s">
        <v>291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344</v>
      </c>
      <c r="R86" s="23" t="s">
        <v>359</v>
      </c>
      <c r="S86" s="9"/>
      <c r="U86" s="24"/>
    </row>
    <row r="87" spans="1:23" ht="20.100000000000001" customHeight="1" x14ac:dyDescent="0.25">
      <c r="C87" s="12" t="s">
        <v>294</v>
      </c>
      <c r="D87" s="12" t="s">
        <v>342</v>
      </c>
      <c r="E87" s="12" t="s">
        <v>343</v>
      </c>
      <c r="F87" s="12" t="s">
        <v>291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287</v>
      </c>
      <c r="R87" s="23" t="s">
        <v>281</v>
      </c>
      <c r="S87" s="23" t="s">
        <v>316</v>
      </c>
      <c r="U87" s="24"/>
    </row>
    <row r="88" spans="1:23" ht="19.5" customHeight="1" x14ac:dyDescent="0.25">
      <c r="C88" s="12" t="s">
        <v>322</v>
      </c>
      <c r="D88" s="12" t="s">
        <v>323</v>
      </c>
      <c r="E88" s="12" t="s">
        <v>302</v>
      </c>
      <c r="F88" s="12" t="s">
        <v>291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303</v>
      </c>
      <c r="R88" s="23"/>
      <c r="S88" s="23"/>
      <c r="U88" s="24"/>
    </row>
    <row r="89" spans="1:23" ht="20.100000000000001" customHeight="1" x14ac:dyDescent="0.25">
      <c r="A89" s="3">
        <v>70</v>
      </c>
      <c r="B89" s="3">
        <v>70</v>
      </c>
      <c r="C89" s="5" t="s">
        <v>234</v>
      </c>
      <c r="D89" s="5" t="s">
        <v>235</v>
      </c>
      <c r="E89" s="5" t="s">
        <v>236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277</v>
      </c>
      <c r="R89" s="23" t="s">
        <v>278</v>
      </c>
      <c r="S89" s="9" t="s">
        <v>214</v>
      </c>
      <c r="T89" s="24" t="s">
        <v>474</v>
      </c>
      <c r="U89" s="24"/>
    </row>
    <row r="90" spans="1:23" ht="20.100000000000001" customHeight="1" x14ac:dyDescent="0.25">
      <c r="C90" s="5" t="s">
        <v>234</v>
      </c>
      <c r="D90" s="5" t="s">
        <v>237</v>
      </c>
      <c r="E90" s="5" t="s">
        <v>238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279</v>
      </c>
      <c r="R90" s="23" t="s">
        <v>300</v>
      </c>
      <c r="S90" s="23" t="s">
        <v>280</v>
      </c>
      <c r="U90" s="24"/>
    </row>
    <row r="91" spans="1:23" ht="20.100000000000001" customHeight="1" x14ac:dyDescent="0.25">
      <c r="C91" s="5" t="s">
        <v>296</v>
      </c>
      <c r="D91" s="5" t="s">
        <v>297</v>
      </c>
      <c r="E91" s="5" t="s">
        <v>298</v>
      </c>
      <c r="F91" s="5" t="s">
        <v>291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299</v>
      </c>
      <c r="R91" s="23" t="s">
        <v>300</v>
      </c>
      <c r="S91" s="23"/>
      <c r="U91" s="24"/>
    </row>
    <row r="92" spans="1:23" ht="20.100000000000001" customHeight="1" x14ac:dyDescent="0.25">
      <c r="A92" s="3">
        <v>80</v>
      </c>
      <c r="B92" s="3">
        <v>75</v>
      </c>
      <c r="C92" s="12" t="s">
        <v>239</v>
      </c>
      <c r="D92" s="12" t="s">
        <v>240</v>
      </c>
      <c r="E92" s="26" t="s">
        <v>363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241</v>
      </c>
      <c r="R92" s="23" t="s">
        <v>419</v>
      </c>
      <c r="S92" s="23" t="s">
        <v>469</v>
      </c>
      <c r="U92" s="24"/>
      <c r="W92" s="24"/>
    </row>
    <row r="93" spans="1:23" ht="20.100000000000001" customHeight="1" x14ac:dyDescent="0.25">
      <c r="C93" s="12" t="s">
        <v>324</v>
      </c>
      <c r="D93" s="12" t="s">
        <v>217</v>
      </c>
      <c r="E93" s="12" t="s">
        <v>218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346</v>
      </c>
      <c r="R93" s="23" t="s">
        <v>419</v>
      </c>
      <c r="S93" s="23" t="s">
        <v>367</v>
      </c>
      <c r="U93" s="24"/>
    </row>
    <row r="94" spans="1:23" ht="20.100000000000001" customHeight="1" x14ac:dyDescent="0.25">
      <c r="C94" s="12" t="s">
        <v>239</v>
      </c>
      <c r="D94" s="12" t="s">
        <v>242</v>
      </c>
      <c r="E94" s="12" t="s">
        <v>243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283</v>
      </c>
      <c r="R94" s="23" t="s">
        <v>347</v>
      </c>
      <c r="S94" s="23" t="s">
        <v>349</v>
      </c>
      <c r="U94" s="24"/>
    </row>
    <row r="95" spans="1:23" ht="20.100000000000001" customHeight="1" x14ac:dyDescent="0.25">
      <c r="A95" s="3">
        <v>60</v>
      </c>
      <c r="B95" s="3">
        <v>65</v>
      </c>
      <c r="C95" s="5" t="s">
        <v>244</v>
      </c>
      <c r="D95" s="5" t="s">
        <v>245</v>
      </c>
      <c r="E95" s="5" t="s">
        <v>246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284</v>
      </c>
      <c r="R95" s="23" t="s">
        <v>354</v>
      </c>
      <c r="S95" s="23" t="s">
        <v>355</v>
      </c>
      <c r="U95" s="24"/>
    </row>
    <row r="96" spans="1:23" ht="20.100000000000001" customHeight="1" x14ac:dyDescent="0.25">
      <c r="A96" s="3">
        <v>75</v>
      </c>
      <c r="B96" s="3">
        <v>80</v>
      </c>
      <c r="C96" s="12" t="s">
        <v>249</v>
      </c>
      <c r="D96" s="12" t="s">
        <v>250</v>
      </c>
      <c r="E96" s="12" t="s">
        <v>251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252</v>
      </c>
      <c r="R96" s="23" t="s">
        <v>364</v>
      </c>
      <c r="S96" s="9" t="s">
        <v>253</v>
      </c>
      <c r="T96" s="24" t="s">
        <v>473</v>
      </c>
      <c r="U96" s="24"/>
    </row>
    <row r="97" spans="1:23" ht="20.100000000000001" customHeight="1" x14ac:dyDescent="0.25">
      <c r="C97" s="12" t="s">
        <v>249</v>
      </c>
      <c r="D97" s="12" t="s">
        <v>254</v>
      </c>
      <c r="E97" s="12" t="s">
        <v>255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146</v>
      </c>
      <c r="R97" s="23" t="s">
        <v>344</v>
      </c>
      <c r="S97" s="23" t="s">
        <v>285</v>
      </c>
      <c r="U97" s="24"/>
    </row>
    <row r="98" spans="1:23" ht="20.100000000000001" customHeight="1" x14ac:dyDescent="0.25">
      <c r="A98" s="24" t="s">
        <v>384</v>
      </c>
      <c r="B98" s="24" t="s">
        <v>385</v>
      </c>
      <c r="C98" s="5" t="s">
        <v>368</v>
      </c>
      <c r="D98" s="5" t="s">
        <v>452</v>
      </c>
      <c r="E98" s="5" t="s">
        <v>386</v>
      </c>
      <c r="F98" s="5" t="s">
        <v>291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382</v>
      </c>
      <c r="R98" s="23" t="s">
        <v>383</v>
      </c>
      <c r="S98" s="23"/>
      <c r="T98" s="23" t="s">
        <v>398</v>
      </c>
      <c r="W98" s="24"/>
    </row>
    <row r="99" spans="1:23" ht="20.100000000000001" customHeight="1" x14ac:dyDescent="0.25">
      <c r="A99" s="3">
        <v>105</v>
      </c>
      <c r="B99" s="3">
        <v>125</v>
      </c>
      <c r="C99" s="12" t="s">
        <v>371</v>
      </c>
      <c r="D99" s="12" t="s">
        <v>453</v>
      </c>
      <c r="E99" s="12" t="s">
        <v>379</v>
      </c>
      <c r="F99" s="12" t="s">
        <v>310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388</v>
      </c>
      <c r="R99" s="23" t="s">
        <v>389</v>
      </c>
      <c r="S99" s="23"/>
      <c r="T99" s="23" t="s">
        <v>397</v>
      </c>
      <c r="W99" s="24"/>
    </row>
    <row r="100" spans="1:23" ht="20.100000000000001" customHeight="1" x14ac:dyDescent="0.25">
      <c r="C100" s="12" t="s">
        <v>371</v>
      </c>
      <c r="D100" s="12" t="s">
        <v>454</v>
      </c>
      <c r="E100" s="12" t="s">
        <v>381</v>
      </c>
      <c r="F100" s="12" t="s">
        <v>291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387</v>
      </c>
      <c r="R100" s="23" t="s">
        <v>393</v>
      </c>
      <c r="S100" s="23"/>
      <c r="T100" s="23" t="s">
        <v>395</v>
      </c>
      <c r="W100" s="24"/>
    </row>
    <row r="101" spans="1:23" ht="20.100000000000001" customHeight="1" x14ac:dyDescent="0.25">
      <c r="C101" s="12" t="s">
        <v>371</v>
      </c>
      <c r="D101" s="12" t="s">
        <v>455</v>
      </c>
      <c r="E101" s="12" t="s">
        <v>406</v>
      </c>
      <c r="F101" s="12" t="s">
        <v>291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412</v>
      </c>
      <c r="R101" s="23" t="s">
        <v>316</v>
      </c>
      <c r="S101" s="23"/>
      <c r="T101" s="23"/>
      <c r="W101" s="24"/>
    </row>
    <row r="102" spans="1:23" ht="20.100000000000001" customHeight="1" x14ac:dyDescent="0.25">
      <c r="C102" s="12" t="s">
        <v>371</v>
      </c>
      <c r="D102" s="12" t="s">
        <v>456</v>
      </c>
      <c r="E102" s="12" t="s">
        <v>407</v>
      </c>
      <c r="F102" s="12" t="s">
        <v>310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414</v>
      </c>
      <c r="R102" s="23" t="s">
        <v>415</v>
      </c>
      <c r="S102" s="23" t="s">
        <v>403</v>
      </c>
      <c r="T102" s="23"/>
      <c r="W102" s="24"/>
    </row>
    <row r="103" spans="1:23" ht="20.100000000000001" customHeight="1" x14ac:dyDescent="0.25">
      <c r="A103" s="3">
        <v>120</v>
      </c>
      <c r="B103" s="3">
        <v>140</v>
      </c>
      <c r="C103" s="5" t="s">
        <v>372</v>
      </c>
      <c r="D103" s="5" t="s">
        <v>457</v>
      </c>
      <c r="E103" s="5" t="s">
        <v>378</v>
      </c>
      <c r="F103" s="5" t="s">
        <v>291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435</v>
      </c>
      <c r="R103" s="23" t="s">
        <v>284</v>
      </c>
      <c r="S103" s="23"/>
      <c r="T103" s="23" t="s">
        <v>396</v>
      </c>
      <c r="W103" s="24"/>
    </row>
    <row r="104" spans="1:23" ht="20.100000000000001" customHeight="1" x14ac:dyDescent="0.25">
      <c r="C104" s="5" t="s">
        <v>372</v>
      </c>
      <c r="D104" s="5" t="s">
        <v>458</v>
      </c>
      <c r="E104" s="5" t="s">
        <v>380</v>
      </c>
      <c r="F104" s="5" t="s">
        <v>310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404</v>
      </c>
      <c r="R104" s="23" t="s">
        <v>394</v>
      </c>
      <c r="S104" s="23" t="s">
        <v>464</v>
      </c>
      <c r="T104" s="24"/>
      <c r="W104" s="24"/>
    </row>
    <row r="105" spans="1:23" ht="20.100000000000001" customHeight="1" x14ac:dyDescent="0.25">
      <c r="A105" s="3">
        <v>135</v>
      </c>
      <c r="B105" s="3">
        <v>155</v>
      </c>
      <c r="C105" s="12" t="s">
        <v>369</v>
      </c>
      <c r="D105" s="12" t="s">
        <v>459</v>
      </c>
      <c r="E105" s="12" t="s">
        <v>408</v>
      </c>
      <c r="F105" s="12" t="s">
        <v>291</v>
      </c>
      <c r="G105" s="12">
        <v>39</v>
      </c>
      <c r="H105" s="12">
        <v>24</v>
      </c>
      <c r="I105" s="12">
        <v>24</v>
      </c>
      <c r="J105" s="17">
        <f t="shared" ref="J105:J127" si="63">(G105*$I$2)+(H105*$I$3)</f>
        <v>90</v>
      </c>
      <c r="K105" s="9">
        <f t="shared" si="41"/>
        <v>31.5</v>
      </c>
      <c r="L105" s="10">
        <f t="shared" ref="L105:L127" si="64">J105+K105</f>
        <v>121.5</v>
      </c>
      <c r="M105" s="11">
        <f t="shared" si="51"/>
        <v>150</v>
      </c>
      <c r="N105" s="11">
        <f t="shared" si="52"/>
        <v>36</v>
      </c>
      <c r="O105" s="9">
        <v>7</v>
      </c>
      <c r="P105" s="9">
        <v>7</v>
      </c>
      <c r="Q105" s="9" t="s">
        <v>241</v>
      </c>
      <c r="R105" s="24" t="s">
        <v>411</v>
      </c>
      <c r="S105" s="23" t="s">
        <v>383</v>
      </c>
      <c r="W105" s="24"/>
    </row>
    <row r="106" spans="1:23" ht="20.100000000000001" customHeight="1" x14ac:dyDescent="0.25">
      <c r="A106" s="3">
        <v>165</v>
      </c>
      <c r="B106" s="3">
        <v>180</v>
      </c>
      <c r="C106" s="5" t="s">
        <v>373</v>
      </c>
      <c r="D106" s="5" t="s">
        <v>460</v>
      </c>
      <c r="E106" s="5" t="s">
        <v>377</v>
      </c>
      <c r="F106" s="5" t="s">
        <v>291</v>
      </c>
      <c r="G106" s="5">
        <v>52</v>
      </c>
      <c r="H106" s="5">
        <v>35</v>
      </c>
      <c r="I106" s="5">
        <v>29</v>
      </c>
      <c r="J106" s="17">
        <f t="shared" si="63"/>
        <v>121.5</v>
      </c>
      <c r="K106" s="9">
        <f t="shared" ref="K106:K140" si="65">(G106*$I$4)+(H106*$I$5)+(I106*$I$7)</f>
        <v>43.5</v>
      </c>
      <c r="L106" s="10">
        <f t="shared" si="64"/>
        <v>165</v>
      </c>
      <c r="M106" s="11">
        <f t="shared" si="51"/>
        <v>181.25</v>
      </c>
      <c r="N106" s="11">
        <f t="shared" si="52"/>
        <v>43.5</v>
      </c>
      <c r="O106" s="9">
        <v>4</v>
      </c>
      <c r="P106" s="9">
        <v>16</v>
      </c>
      <c r="Q106" s="23" t="s">
        <v>469</v>
      </c>
      <c r="R106" s="23" t="s">
        <v>405</v>
      </c>
      <c r="S106" s="9" t="s">
        <v>241</v>
      </c>
      <c r="T106" s="24" t="s">
        <v>472</v>
      </c>
      <c r="W106" s="24" t="s">
        <v>471</v>
      </c>
    </row>
    <row r="107" spans="1:23" ht="20.100000000000001" customHeight="1" x14ac:dyDescent="0.25">
      <c r="C107" s="5" t="s">
        <v>373</v>
      </c>
      <c r="D107" s="5" t="s">
        <v>461</v>
      </c>
      <c r="E107" s="5" t="s">
        <v>409</v>
      </c>
      <c r="F107" s="5" t="s">
        <v>310</v>
      </c>
      <c r="G107" s="5">
        <v>46</v>
      </c>
      <c r="H107" s="5">
        <v>50</v>
      </c>
      <c r="I107" s="5">
        <v>29</v>
      </c>
      <c r="J107" s="17">
        <f t="shared" ref="J107" si="66">(G107*$I$2)+(H107*$I$3)</f>
        <v>117</v>
      </c>
      <c r="K107" s="9">
        <f t="shared" ref="K107" si="67">(G107*$I$4)+(H107*$I$5)+(I107*$I$7)</f>
        <v>48</v>
      </c>
      <c r="L107" s="10">
        <f t="shared" ref="L107" si="68">J107+K107</f>
        <v>165</v>
      </c>
      <c r="M107" s="11">
        <f t="shared" ref="M107" si="69">I107*$M$2</f>
        <v>181.25</v>
      </c>
      <c r="N107" s="11">
        <f t="shared" ref="N107" si="70">I107*$M$3</f>
        <v>43.5</v>
      </c>
      <c r="O107" s="9">
        <v>6</v>
      </c>
      <c r="P107" s="9">
        <v>8</v>
      </c>
      <c r="Q107" s="23" t="s">
        <v>422</v>
      </c>
      <c r="R107" s="23" t="s">
        <v>445</v>
      </c>
      <c r="S107" s="23" t="s">
        <v>414</v>
      </c>
      <c r="T107" s="24"/>
      <c r="W107" s="24"/>
    </row>
    <row r="108" spans="1:23" ht="20.100000000000001" customHeight="1" x14ac:dyDescent="0.25">
      <c r="C108" s="5" t="s">
        <v>373</v>
      </c>
      <c r="D108" s="5" t="s">
        <v>465</v>
      </c>
      <c r="E108" s="5" t="s">
        <v>390</v>
      </c>
      <c r="F108" s="5" t="s">
        <v>291</v>
      </c>
      <c r="G108" s="5">
        <v>50</v>
      </c>
      <c r="H108" s="5">
        <v>40</v>
      </c>
      <c r="I108" s="5">
        <v>29</v>
      </c>
      <c r="J108" s="17">
        <f>(G108*$I$2)+(H108*$I$3)</f>
        <v>120</v>
      </c>
      <c r="K108" s="9">
        <f>(G108*$I$4)+(H108*$I$5)+(I108*$I$7)</f>
        <v>45</v>
      </c>
      <c r="L108" s="10">
        <f>J108+K108</f>
        <v>165</v>
      </c>
      <c r="M108" s="11">
        <f>I108*$M$2</f>
        <v>181.25</v>
      </c>
      <c r="N108" s="11">
        <f>I108*$M$3</f>
        <v>43.5</v>
      </c>
      <c r="O108" s="9">
        <v>7</v>
      </c>
      <c r="P108" s="9">
        <v>13</v>
      </c>
      <c r="Q108" s="23" t="s">
        <v>413</v>
      </c>
      <c r="R108" s="24" t="s">
        <v>420</v>
      </c>
      <c r="S108" s="23" t="s">
        <v>392</v>
      </c>
      <c r="T108" s="24" t="s">
        <v>391</v>
      </c>
      <c r="U108" s="24" t="s">
        <v>399</v>
      </c>
      <c r="V108" s="24" t="s">
        <v>402</v>
      </c>
      <c r="W108" s="24"/>
    </row>
    <row r="109" spans="1:23" ht="20.100000000000001" customHeight="1" x14ac:dyDescent="0.25">
      <c r="A109" s="3">
        <v>180</v>
      </c>
      <c r="B109" s="3">
        <v>190</v>
      </c>
      <c r="C109" s="12" t="s">
        <v>429</v>
      </c>
      <c r="D109" s="12" t="s">
        <v>462</v>
      </c>
      <c r="E109" s="12" t="s">
        <v>410</v>
      </c>
      <c r="F109" s="12" t="s">
        <v>291</v>
      </c>
      <c r="G109" s="12">
        <v>52</v>
      </c>
      <c r="H109" s="12">
        <v>50</v>
      </c>
      <c r="I109" s="12">
        <v>30.5</v>
      </c>
      <c r="J109" s="17">
        <f t="shared" si="63"/>
        <v>129</v>
      </c>
      <c r="K109" s="9">
        <f t="shared" si="65"/>
        <v>51</v>
      </c>
      <c r="L109" s="10">
        <f t="shared" si="64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274</v>
      </c>
      <c r="R109" s="23" t="s">
        <v>430</v>
      </c>
      <c r="S109" s="23" t="s">
        <v>431</v>
      </c>
      <c r="W109" s="24"/>
    </row>
    <row r="110" spans="1:23" ht="20.100000000000001" customHeight="1" x14ac:dyDescent="0.25">
      <c r="A110" s="3">
        <v>190</v>
      </c>
      <c r="B110" s="3">
        <v>190</v>
      </c>
      <c r="C110" s="5" t="s">
        <v>370</v>
      </c>
      <c r="D110" s="5" t="s">
        <v>446</v>
      </c>
      <c r="E110" s="5" t="s">
        <v>423</v>
      </c>
      <c r="F110" s="5" t="s">
        <v>291</v>
      </c>
      <c r="G110" s="5">
        <v>58</v>
      </c>
      <c r="H110" s="5">
        <v>45</v>
      </c>
      <c r="I110" s="5">
        <v>31</v>
      </c>
      <c r="J110" s="17">
        <f t="shared" si="63"/>
        <v>138.5</v>
      </c>
      <c r="K110" s="9">
        <f t="shared" si="65"/>
        <v>51.5</v>
      </c>
      <c r="L110" s="10">
        <f t="shared" si="64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432</v>
      </c>
      <c r="R110" s="23" t="s">
        <v>364</v>
      </c>
      <c r="S110" s="23" t="s">
        <v>433</v>
      </c>
      <c r="W110" s="24"/>
    </row>
    <row r="111" spans="1:23" ht="20.100000000000001" customHeight="1" x14ac:dyDescent="0.25">
      <c r="A111" s="3">
        <v>210</v>
      </c>
      <c r="B111" s="3">
        <v>205</v>
      </c>
      <c r="C111" s="12" t="s">
        <v>374</v>
      </c>
      <c r="D111" s="12" t="s">
        <v>447</v>
      </c>
      <c r="E111" s="12" t="s">
        <v>424</v>
      </c>
      <c r="F111" s="12" t="s">
        <v>291</v>
      </c>
      <c r="G111" s="12">
        <v>64</v>
      </c>
      <c r="H111" s="12">
        <v>50</v>
      </c>
      <c r="I111" s="12">
        <v>33</v>
      </c>
      <c r="J111" s="17">
        <f t="shared" si="63"/>
        <v>153</v>
      </c>
      <c r="K111" s="9">
        <f t="shared" si="65"/>
        <v>57</v>
      </c>
      <c r="L111" s="10">
        <f t="shared" si="64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434</v>
      </c>
      <c r="R111" s="23" t="s">
        <v>414</v>
      </c>
      <c r="S111" s="23" t="s">
        <v>435</v>
      </c>
      <c r="W111" s="24"/>
    </row>
    <row r="112" spans="1:23" ht="20.100000000000001" customHeight="1" x14ac:dyDescent="0.25">
      <c r="A112" s="3">
        <v>230</v>
      </c>
      <c r="B112" s="3">
        <v>210</v>
      </c>
      <c r="C112" s="5" t="s">
        <v>375</v>
      </c>
      <c r="D112" s="5" t="s">
        <v>448</v>
      </c>
      <c r="E112" s="5" t="s">
        <v>425</v>
      </c>
      <c r="F112" s="5" t="s">
        <v>291</v>
      </c>
      <c r="G112" s="5">
        <v>68</v>
      </c>
      <c r="H112" s="5">
        <v>60</v>
      </c>
      <c r="I112" s="5">
        <v>32</v>
      </c>
      <c r="J112" s="17">
        <f t="shared" si="63"/>
        <v>166</v>
      </c>
      <c r="K112" s="9">
        <f t="shared" si="65"/>
        <v>64</v>
      </c>
      <c r="L112" s="10">
        <f t="shared" si="64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436</v>
      </c>
      <c r="R112" s="23" t="s">
        <v>274</v>
      </c>
      <c r="S112" s="23" t="s">
        <v>444</v>
      </c>
      <c r="T112" s="23" t="s">
        <v>437</v>
      </c>
      <c r="W112" s="24"/>
    </row>
    <row r="113" spans="1:23" ht="20.100000000000001" customHeight="1" x14ac:dyDescent="0.25">
      <c r="C113" s="5" t="s">
        <v>375</v>
      </c>
      <c r="D113" s="5" t="s">
        <v>449</v>
      </c>
      <c r="E113" s="5" t="s">
        <v>426</v>
      </c>
      <c r="F113" s="5" t="s">
        <v>291</v>
      </c>
      <c r="G113" s="5">
        <v>74</v>
      </c>
      <c r="H113" s="5">
        <v>45</v>
      </c>
      <c r="I113" s="5">
        <v>34</v>
      </c>
      <c r="J113" s="17">
        <f t="shared" ref="J113:J114" si="71">(G113*$I$2)+(H113*$I$3)</f>
        <v>170.5</v>
      </c>
      <c r="K113" s="9">
        <f t="shared" ref="K113:K114" si="72">(G113*$I$4)+(H113*$I$5)+(I113*$I$7)</f>
        <v>59.5</v>
      </c>
      <c r="L113" s="10">
        <f t="shared" ref="L113:L114" si="73">J113+K113</f>
        <v>230</v>
      </c>
      <c r="M113" s="11">
        <f t="shared" ref="M113:M114" si="74">I113*$M$2</f>
        <v>212.5</v>
      </c>
      <c r="N113" s="11">
        <f t="shared" ref="N113:N114" si="75">I113*$M$3</f>
        <v>51</v>
      </c>
      <c r="O113" s="9">
        <v>8</v>
      </c>
      <c r="P113" s="9">
        <v>12</v>
      </c>
      <c r="Q113" s="23" t="s">
        <v>420</v>
      </c>
      <c r="R113" s="23" t="s">
        <v>440</v>
      </c>
      <c r="S113" s="24" t="s">
        <v>293</v>
      </c>
      <c r="T113" s="24" t="s">
        <v>441</v>
      </c>
      <c r="W113" s="24"/>
    </row>
    <row r="114" spans="1:23" ht="20.100000000000001" customHeight="1" x14ac:dyDescent="0.25">
      <c r="C114" s="5" t="s">
        <v>375</v>
      </c>
      <c r="D114" s="5" t="s">
        <v>450</v>
      </c>
      <c r="E114" s="5" t="s">
        <v>427</v>
      </c>
      <c r="F114" s="5" t="s">
        <v>291</v>
      </c>
      <c r="G114" s="5">
        <v>64</v>
      </c>
      <c r="H114" s="5">
        <v>72</v>
      </c>
      <c r="I114" s="5">
        <v>34</v>
      </c>
      <c r="J114" s="17">
        <f t="shared" si="71"/>
        <v>164</v>
      </c>
      <c r="K114" s="9">
        <f t="shared" si="72"/>
        <v>68</v>
      </c>
      <c r="L114" s="10">
        <f t="shared" si="73"/>
        <v>232</v>
      </c>
      <c r="M114" s="11">
        <f t="shared" si="74"/>
        <v>212.5</v>
      </c>
      <c r="N114" s="11">
        <f t="shared" si="75"/>
        <v>51</v>
      </c>
      <c r="O114" s="9">
        <v>10</v>
      </c>
      <c r="P114" s="9">
        <v>16</v>
      </c>
      <c r="Q114" s="23" t="s">
        <v>438</v>
      </c>
      <c r="R114" s="23" t="s">
        <v>431</v>
      </c>
      <c r="S114" s="23" t="s">
        <v>439</v>
      </c>
      <c r="W114" s="24"/>
    </row>
    <row r="115" spans="1:23" ht="20.100000000000001" customHeight="1" x14ac:dyDescent="0.25">
      <c r="A115" s="3">
        <v>240</v>
      </c>
      <c r="B115" s="3">
        <v>210</v>
      </c>
      <c r="C115" s="12" t="s">
        <v>376</v>
      </c>
      <c r="D115" s="12" t="s">
        <v>451</v>
      </c>
      <c r="E115" s="12" t="s">
        <v>428</v>
      </c>
      <c r="F115" s="12" t="s">
        <v>291</v>
      </c>
      <c r="G115" s="12">
        <v>73</v>
      </c>
      <c r="H115" s="12">
        <v>57</v>
      </c>
      <c r="I115" s="12">
        <v>34</v>
      </c>
      <c r="J115" s="17">
        <f t="shared" si="63"/>
        <v>174.5</v>
      </c>
      <c r="K115" s="9">
        <f t="shared" si="65"/>
        <v>65</v>
      </c>
      <c r="L115" s="10">
        <f t="shared" si="64"/>
        <v>239.5</v>
      </c>
      <c r="M115" s="11">
        <f t="shared" si="51"/>
        <v>212.5</v>
      </c>
      <c r="N115" s="11">
        <f t="shared" si="52"/>
        <v>51</v>
      </c>
      <c r="O115" s="9">
        <v>8</v>
      </c>
      <c r="P115" s="9">
        <v>16</v>
      </c>
      <c r="Q115" s="23" t="s">
        <v>443</v>
      </c>
      <c r="R115" s="23" t="s">
        <v>442</v>
      </c>
      <c r="S115" s="23" t="s">
        <v>435</v>
      </c>
      <c r="W115" s="24"/>
    </row>
    <row r="116" spans="1:23" ht="20.100000000000001" customHeight="1" x14ac:dyDescent="0.25">
      <c r="C116" s="9"/>
      <c r="D116" s="9"/>
      <c r="E116" s="9"/>
      <c r="F116" s="9"/>
      <c r="G116" s="9"/>
      <c r="H116" s="9"/>
      <c r="I116" s="9"/>
      <c r="J116" s="17">
        <f t="shared" si="63"/>
        <v>0</v>
      </c>
      <c r="K116" s="9">
        <f t="shared" si="65"/>
        <v>0</v>
      </c>
      <c r="L116" s="10">
        <f t="shared" si="64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5">
      <c r="C117" s="9"/>
      <c r="D117" s="9"/>
      <c r="E117" s="9"/>
      <c r="F117" s="9"/>
      <c r="G117" s="9"/>
      <c r="H117" s="9"/>
      <c r="I117" s="9"/>
      <c r="J117" s="17">
        <f t="shared" si="63"/>
        <v>0</v>
      </c>
      <c r="K117" s="9">
        <f t="shared" si="65"/>
        <v>0</v>
      </c>
      <c r="L117" s="10">
        <f t="shared" si="64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5">
      <c r="C118" s="9"/>
      <c r="D118" s="9"/>
      <c r="E118" s="9"/>
      <c r="F118" s="9"/>
      <c r="G118" s="9"/>
      <c r="H118" s="9"/>
      <c r="I118" s="9"/>
      <c r="J118" s="17">
        <f t="shared" si="63"/>
        <v>0</v>
      </c>
      <c r="K118" s="9">
        <f t="shared" si="65"/>
        <v>0</v>
      </c>
      <c r="L118" s="10">
        <f t="shared" si="64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5">
      <c r="C119" s="9"/>
      <c r="D119" s="9"/>
      <c r="E119" s="9"/>
      <c r="F119" s="9"/>
      <c r="G119" s="9"/>
      <c r="H119" s="9"/>
      <c r="I119" s="9"/>
      <c r="J119" s="17">
        <f t="shared" si="63"/>
        <v>0</v>
      </c>
      <c r="K119" s="9">
        <f t="shared" si="65"/>
        <v>0</v>
      </c>
      <c r="L119" s="10">
        <f t="shared" si="64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5">
      <c r="C120" s="9"/>
      <c r="D120" s="9"/>
      <c r="E120" s="9"/>
      <c r="F120" s="9"/>
      <c r="G120" s="9"/>
      <c r="H120" s="9"/>
      <c r="I120" s="9"/>
      <c r="J120" s="17">
        <f t="shared" si="63"/>
        <v>0</v>
      </c>
      <c r="K120" s="9">
        <f t="shared" si="65"/>
        <v>0</v>
      </c>
      <c r="L120" s="10">
        <f t="shared" si="64"/>
        <v>0</v>
      </c>
      <c r="M120" s="11">
        <f t="shared" ref="M120:M163" si="76">I120*$M$2</f>
        <v>0</v>
      </c>
      <c r="N120" s="11">
        <f t="shared" ref="N120:N163" si="77">I120*$M$3</f>
        <v>0</v>
      </c>
      <c r="O120" s="9"/>
      <c r="P120" s="9"/>
      <c r="Q120" s="9"/>
      <c r="R120" s="9"/>
      <c r="S120" s="9"/>
    </row>
    <row r="121" spans="1:23" ht="20.100000000000001" customHeight="1" x14ac:dyDescent="0.25">
      <c r="C121" s="9"/>
      <c r="D121" s="9"/>
      <c r="E121" s="9"/>
      <c r="F121" s="9"/>
      <c r="G121" s="9"/>
      <c r="H121" s="9"/>
      <c r="I121" s="9"/>
      <c r="J121" s="17">
        <f t="shared" si="63"/>
        <v>0</v>
      </c>
      <c r="K121" s="9">
        <f t="shared" si="65"/>
        <v>0</v>
      </c>
      <c r="L121" s="10">
        <f t="shared" si="64"/>
        <v>0</v>
      </c>
      <c r="M121" s="11">
        <f t="shared" si="76"/>
        <v>0</v>
      </c>
      <c r="N121" s="11">
        <f t="shared" si="77"/>
        <v>0</v>
      </c>
      <c r="O121" s="9"/>
      <c r="P121" s="9"/>
      <c r="Q121" s="9"/>
      <c r="R121" s="9"/>
      <c r="S121" s="9"/>
    </row>
    <row r="122" spans="1:23" ht="20.100000000000001" customHeight="1" x14ac:dyDescent="0.25">
      <c r="C122" s="9"/>
      <c r="D122" s="9"/>
      <c r="E122" s="9"/>
      <c r="F122" s="9"/>
      <c r="G122" s="9"/>
      <c r="H122" s="9"/>
      <c r="I122" s="9"/>
      <c r="J122" s="17">
        <f t="shared" si="63"/>
        <v>0</v>
      </c>
      <c r="K122" s="9">
        <f t="shared" si="65"/>
        <v>0</v>
      </c>
      <c r="L122" s="10">
        <f t="shared" si="64"/>
        <v>0</v>
      </c>
      <c r="M122" s="11">
        <f t="shared" si="76"/>
        <v>0</v>
      </c>
      <c r="N122" s="11">
        <f t="shared" si="77"/>
        <v>0</v>
      </c>
      <c r="O122" s="9"/>
      <c r="P122" s="9"/>
      <c r="Q122" s="9"/>
      <c r="R122" s="9"/>
      <c r="S122" s="9"/>
    </row>
    <row r="123" spans="1:23" ht="20.100000000000001" customHeight="1" x14ac:dyDescent="0.25">
      <c r="C123" s="9"/>
      <c r="D123" s="9"/>
      <c r="E123" s="9"/>
      <c r="F123" s="9"/>
      <c r="G123" s="9"/>
      <c r="H123" s="9"/>
      <c r="I123" s="9"/>
      <c r="J123" s="17">
        <f t="shared" si="63"/>
        <v>0</v>
      </c>
      <c r="K123" s="9">
        <f t="shared" si="65"/>
        <v>0</v>
      </c>
      <c r="L123" s="10">
        <f t="shared" si="64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23" ht="20.100000000000001" customHeight="1" x14ac:dyDescent="0.25">
      <c r="C124" s="9"/>
      <c r="D124" s="9"/>
      <c r="E124" s="9"/>
      <c r="F124" s="9"/>
      <c r="G124" s="9"/>
      <c r="H124" s="9"/>
      <c r="I124" s="9"/>
      <c r="J124" s="17">
        <f t="shared" si="63"/>
        <v>0</v>
      </c>
      <c r="K124" s="9">
        <f t="shared" si="65"/>
        <v>0</v>
      </c>
      <c r="L124" s="10">
        <f t="shared" si="64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23" ht="20.100000000000001" customHeight="1" x14ac:dyDescent="0.25">
      <c r="C125" s="9"/>
      <c r="D125" s="9"/>
      <c r="E125" s="9"/>
      <c r="F125" s="9"/>
      <c r="G125" s="9"/>
      <c r="H125" s="9"/>
      <c r="I125" s="9"/>
      <c r="J125" s="17">
        <f t="shared" si="63"/>
        <v>0</v>
      </c>
      <c r="K125" s="9">
        <f t="shared" si="65"/>
        <v>0</v>
      </c>
      <c r="L125" s="10">
        <f t="shared" si="64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23" ht="20.100000000000001" customHeight="1" x14ac:dyDescent="0.25">
      <c r="C126" s="9"/>
      <c r="D126" s="9"/>
      <c r="E126" s="9"/>
      <c r="F126" s="9"/>
      <c r="G126" s="9"/>
      <c r="H126" s="9"/>
      <c r="I126" s="9"/>
      <c r="J126" s="17">
        <f t="shared" si="63"/>
        <v>0</v>
      </c>
      <c r="K126" s="9">
        <f t="shared" si="65"/>
        <v>0</v>
      </c>
      <c r="L126" s="10">
        <f t="shared" si="64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23" ht="20.100000000000001" customHeight="1" x14ac:dyDescent="0.25">
      <c r="C127" s="9"/>
      <c r="D127" s="9"/>
      <c r="E127" s="9"/>
      <c r="F127" s="9"/>
      <c r="G127" s="9"/>
      <c r="H127" s="9"/>
      <c r="I127" s="9"/>
      <c r="J127" s="17">
        <f t="shared" si="63"/>
        <v>0</v>
      </c>
      <c r="K127" s="9">
        <f t="shared" si="65"/>
        <v>0</v>
      </c>
      <c r="L127" s="10">
        <f t="shared" si="64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23" ht="20.100000000000001" customHeight="1" x14ac:dyDescent="0.25">
      <c r="C128" s="9"/>
      <c r="D128" s="9"/>
      <c r="E128" s="9"/>
      <c r="F128" s="9"/>
      <c r="G128" s="9"/>
      <c r="H128" s="9"/>
      <c r="I128" s="9"/>
      <c r="J128" s="17">
        <f t="shared" ref="J128:J163" si="78">(G128*$I$2)+(H128*$I$3)</f>
        <v>0</v>
      </c>
      <c r="K128" s="9">
        <f t="shared" si="65"/>
        <v>0</v>
      </c>
      <c r="L128" s="10">
        <f t="shared" ref="L128:L163" si="79">J128+K128</f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5">
      <c r="C129" s="9"/>
      <c r="D129" s="9"/>
      <c r="E129" s="9"/>
      <c r="F129" s="9"/>
      <c r="G129" s="9"/>
      <c r="H129" s="9"/>
      <c r="I129" s="9"/>
      <c r="J129" s="17">
        <f t="shared" si="78"/>
        <v>0</v>
      </c>
      <c r="K129" s="9">
        <f t="shared" si="65"/>
        <v>0</v>
      </c>
      <c r="L129" s="10">
        <f t="shared" si="7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5">
      <c r="C130" s="9"/>
      <c r="D130" s="9"/>
      <c r="E130" s="9"/>
      <c r="F130" s="9"/>
      <c r="G130" s="9"/>
      <c r="H130" s="9"/>
      <c r="I130" s="9"/>
      <c r="J130" s="17">
        <f t="shared" si="78"/>
        <v>0</v>
      </c>
      <c r="K130" s="9">
        <f t="shared" si="65"/>
        <v>0</v>
      </c>
      <c r="L130" s="10">
        <f t="shared" si="79"/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5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65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5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65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5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65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5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65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5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65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5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65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5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65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5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65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5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65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5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65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5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ref="K141:K163" si="80">(G141*$I$4)+(H141*$I$5)+(I141*$I$7)</f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5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8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5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si="80"/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5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5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5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5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5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5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5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5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5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5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5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5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5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5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5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5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5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5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5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5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5B27-9E4B-4195-A664-98F7198337D3}">
  <dimension ref="A1:U15"/>
  <sheetViews>
    <sheetView workbookViewId="0">
      <selection activeCell="M17" sqref="M17"/>
    </sheetView>
  </sheetViews>
  <sheetFormatPr defaultColWidth="14.6640625" defaultRowHeight="18" customHeight="1" x14ac:dyDescent="0.25"/>
  <sheetData>
    <row r="1" spans="1:21" ht="18" customHeight="1" x14ac:dyDescent="0.25">
      <c r="C1" s="3"/>
      <c r="D1" s="3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L1" s="3"/>
      <c r="M1" s="3" t="s">
        <v>5</v>
      </c>
    </row>
    <row r="2" spans="1:21" ht="18" customHeight="1" x14ac:dyDescent="0.25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</row>
    <row r="3" spans="1:21" ht="18" customHeight="1" x14ac:dyDescent="0.25">
      <c r="C3" s="3"/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</row>
    <row r="4" spans="1:21" ht="18" customHeight="1" x14ac:dyDescent="0.25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J4" s="3"/>
      <c r="K4" s="3"/>
      <c r="L4" s="3"/>
      <c r="M4" s="3"/>
    </row>
    <row r="5" spans="1:21" ht="18" customHeight="1" x14ac:dyDescent="0.25">
      <c r="C5" s="3"/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J5" s="3"/>
      <c r="K5" s="3"/>
      <c r="L5" s="3"/>
      <c r="M5" s="3"/>
    </row>
    <row r="6" spans="1:21" ht="18" customHeight="1" x14ac:dyDescent="0.25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K6" s="3"/>
      <c r="L6" s="3"/>
      <c r="M6" s="3"/>
    </row>
    <row r="7" spans="1:21" ht="18" customHeight="1" x14ac:dyDescent="0.25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J7" s="3"/>
      <c r="K7" s="3"/>
      <c r="L7" s="3"/>
      <c r="M7" s="3"/>
    </row>
    <row r="9" spans="1:21" ht="18" customHeight="1" x14ac:dyDescent="0.25">
      <c r="A9" s="3"/>
      <c r="B9" s="3"/>
      <c r="C9" s="3"/>
      <c r="E9" s="3"/>
      <c r="F9" s="3" t="s">
        <v>12</v>
      </c>
      <c r="G9" s="3" t="s">
        <v>15</v>
      </c>
      <c r="H9" s="3" t="s">
        <v>22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U9" s="32" t="s">
        <v>477</v>
      </c>
    </row>
    <row r="10" spans="1:21" ht="18" customHeight="1" x14ac:dyDescent="0.25">
      <c r="A10" s="3" t="s">
        <v>31</v>
      </c>
      <c r="B10" s="3" t="s">
        <v>32</v>
      </c>
      <c r="C10" s="28" t="s">
        <v>482</v>
      </c>
      <c r="D10" s="4" t="s">
        <v>481</v>
      </c>
      <c r="E10" s="4" t="s">
        <v>35</v>
      </c>
      <c r="F10" s="5" t="s">
        <v>37</v>
      </c>
      <c r="G10" s="6" t="s">
        <v>38</v>
      </c>
      <c r="H10" s="7" t="s">
        <v>39</v>
      </c>
      <c r="I10" s="14" t="s">
        <v>11</v>
      </c>
      <c r="J10" s="14" t="s">
        <v>25</v>
      </c>
      <c r="K10" s="15" t="s">
        <v>40</v>
      </c>
      <c r="L10" s="16" t="s">
        <v>21</v>
      </c>
      <c r="M10" s="16" t="s">
        <v>28</v>
      </c>
      <c r="N10" s="8" t="s">
        <v>41</v>
      </c>
      <c r="O10" s="8" t="s">
        <v>42</v>
      </c>
      <c r="P10" s="4" t="s">
        <v>43</v>
      </c>
      <c r="Q10" s="4" t="s">
        <v>44</v>
      </c>
      <c r="R10" s="4" t="s">
        <v>45</v>
      </c>
      <c r="S10" s="28" t="s">
        <v>319</v>
      </c>
      <c r="U10" s="33" t="s">
        <v>476</v>
      </c>
    </row>
    <row r="11" spans="1:21" ht="18" customHeight="1" x14ac:dyDescent="0.25">
      <c r="A11" s="3">
        <v>24</v>
      </c>
      <c r="B11" s="3">
        <v>20</v>
      </c>
      <c r="C11" s="31" t="s">
        <v>483</v>
      </c>
      <c r="D11" s="30">
        <v>2</v>
      </c>
      <c r="E11" s="31" t="s">
        <v>488</v>
      </c>
      <c r="F11" s="30">
        <v>6</v>
      </c>
      <c r="G11" s="30">
        <v>6</v>
      </c>
      <c r="H11" s="30">
        <v>3</v>
      </c>
      <c r="I11" s="17">
        <f>(F11*$I$2)+(G11*$I$3)+(H11*$I$6)</f>
        <v>15</v>
      </c>
      <c r="J11" s="9">
        <f t="shared" ref="J11:J13" si="1">(F11*$I$4)+(G11*$I$5)+(H11*$I$7)</f>
        <v>6</v>
      </c>
      <c r="K11" s="10">
        <f t="shared" ref="K11:K13" si="2">I11+J11</f>
        <v>21</v>
      </c>
      <c r="L11" s="11">
        <f>H11*$M$2</f>
        <v>18.75</v>
      </c>
      <c r="M11" s="11">
        <f>H11*$M$3</f>
        <v>4.5</v>
      </c>
      <c r="N11" s="9">
        <v>1</v>
      </c>
      <c r="O11" s="9">
        <v>1</v>
      </c>
      <c r="P11" s="23" t="s">
        <v>484</v>
      </c>
      <c r="Q11" s="23" t="s">
        <v>479</v>
      </c>
      <c r="R11" s="23" t="s">
        <v>478</v>
      </c>
      <c r="S11" s="3"/>
    </row>
    <row r="12" spans="1:21" ht="18" customHeight="1" x14ac:dyDescent="0.25">
      <c r="A12" s="3">
        <v>135</v>
      </c>
      <c r="B12" s="3">
        <v>155</v>
      </c>
      <c r="C12" s="30" t="s">
        <v>369</v>
      </c>
      <c r="D12" s="30">
        <v>4</v>
      </c>
      <c r="E12" s="31" t="s">
        <v>480</v>
      </c>
      <c r="F12" s="30">
        <v>40</v>
      </c>
      <c r="G12" s="30">
        <v>20</v>
      </c>
      <c r="H12" s="30">
        <v>20</v>
      </c>
      <c r="I12" s="17">
        <f t="shared" ref="I12:I13" si="3">(F12*$I$2)+(G12*$I$3)</f>
        <v>90</v>
      </c>
      <c r="J12" s="9">
        <f t="shared" si="1"/>
        <v>30</v>
      </c>
      <c r="K12" s="10">
        <f t="shared" si="2"/>
        <v>120</v>
      </c>
      <c r="L12" s="11">
        <f t="shared" ref="L12:L13" si="4">H12*$M$2</f>
        <v>125</v>
      </c>
      <c r="M12" s="11">
        <f t="shared" ref="M12:M13" si="5">H12*$M$3</f>
        <v>30</v>
      </c>
      <c r="N12" s="9">
        <v>1</v>
      </c>
      <c r="O12" s="9">
        <v>1</v>
      </c>
      <c r="P12" s="23" t="s">
        <v>487</v>
      </c>
      <c r="Q12" s="23" t="s">
        <v>485</v>
      </c>
      <c r="R12" s="9"/>
      <c r="S12" s="3"/>
    </row>
    <row r="13" spans="1:21" ht="18" customHeight="1" x14ac:dyDescent="0.25">
      <c r="A13" s="3">
        <v>9</v>
      </c>
      <c r="B13" s="3">
        <v>10</v>
      </c>
      <c r="C13" s="31" t="s">
        <v>486</v>
      </c>
      <c r="D13" s="30">
        <v>1</v>
      </c>
      <c r="E13" s="31" t="s">
        <v>489</v>
      </c>
      <c r="F13" s="30">
        <v>3</v>
      </c>
      <c r="G13" s="30">
        <v>1</v>
      </c>
      <c r="H13" s="30">
        <v>1.5</v>
      </c>
      <c r="I13" s="17">
        <f t="shared" si="3"/>
        <v>6.5</v>
      </c>
      <c r="J13" s="9">
        <f t="shared" si="1"/>
        <v>2</v>
      </c>
      <c r="K13" s="10">
        <f t="shared" si="2"/>
        <v>8.5</v>
      </c>
      <c r="L13" s="11">
        <f t="shared" si="4"/>
        <v>9.375</v>
      </c>
      <c r="M13" s="11">
        <f t="shared" si="5"/>
        <v>2.25</v>
      </c>
      <c r="N13" s="9">
        <v>1</v>
      </c>
      <c r="O13" s="9">
        <v>1</v>
      </c>
      <c r="P13" s="23" t="s">
        <v>490</v>
      </c>
      <c r="Q13" s="23" t="s">
        <v>491</v>
      </c>
      <c r="R13" s="9"/>
      <c r="S13" s="3"/>
    </row>
    <row r="14" spans="1:21" ht="18" customHeight="1" x14ac:dyDescent="0.25">
      <c r="A14" s="3">
        <v>14</v>
      </c>
      <c r="B14" s="3">
        <v>15</v>
      </c>
      <c r="C14" s="31" t="s">
        <v>493</v>
      </c>
      <c r="D14" s="30">
        <v>2</v>
      </c>
      <c r="E14" s="31" t="s">
        <v>492</v>
      </c>
      <c r="F14" s="30">
        <v>4</v>
      </c>
      <c r="G14" s="30">
        <v>2</v>
      </c>
      <c r="H14" s="30">
        <v>2.2000000000000002</v>
      </c>
      <c r="I14" s="17">
        <f t="shared" ref="I14" si="6">(F14*$I$2)+(G14*$I$3)</f>
        <v>9</v>
      </c>
      <c r="J14" s="9">
        <f t="shared" ref="J14" si="7">(F14*$I$4)+(G14*$I$5)+(H14*$I$7)</f>
        <v>3</v>
      </c>
      <c r="K14" s="10">
        <f t="shared" ref="K14" si="8">I14+J14</f>
        <v>12</v>
      </c>
      <c r="L14" s="11">
        <f t="shared" ref="L14" si="9">H14*$M$2</f>
        <v>13.750000000000002</v>
      </c>
      <c r="M14" s="11">
        <f t="shared" ref="M14" si="10">H14*$M$3</f>
        <v>3.3000000000000003</v>
      </c>
      <c r="N14" s="9">
        <v>1</v>
      </c>
      <c r="O14" s="9">
        <v>1</v>
      </c>
      <c r="P14" s="23" t="s">
        <v>494</v>
      </c>
      <c r="Q14" s="23"/>
      <c r="R14" s="9"/>
      <c r="S14" s="3"/>
    </row>
    <row r="15" spans="1:21" ht="18" customHeight="1" x14ac:dyDescent="0.25">
      <c r="A15" s="3">
        <v>50</v>
      </c>
      <c r="B15" s="3">
        <v>60</v>
      </c>
      <c r="C15" s="31" t="s">
        <v>497</v>
      </c>
      <c r="D15" s="30">
        <v>3</v>
      </c>
      <c r="E15" s="31" t="s">
        <v>496</v>
      </c>
      <c r="F15" s="30">
        <v>14</v>
      </c>
      <c r="G15" s="30">
        <v>13</v>
      </c>
      <c r="H15" s="30">
        <v>9.5</v>
      </c>
      <c r="I15" s="17">
        <f t="shared" ref="I15" si="11">(F15*$I$2)+(G15*$I$3)</f>
        <v>34.5</v>
      </c>
      <c r="J15" s="9">
        <f t="shared" ref="J15" si="12">(F15*$I$4)+(G15*$I$5)+(H15*$I$7)</f>
        <v>13.5</v>
      </c>
      <c r="K15" s="10">
        <f t="shared" ref="K15" si="13">I15+J15</f>
        <v>48</v>
      </c>
      <c r="L15" s="11">
        <f t="shared" ref="L15" si="14">H15*$M$2</f>
        <v>59.375</v>
      </c>
      <c r="M15" s="11">
        <f t="shared" ref="M15" si="15">H15*$M$3</f>
        <v>14.25</v>
      </c>
      <c r="N15" s="9">
        <v>1</v>
      </c>
      <c r="O15" s="9">
        <v>1</v>
      </c>
      <c r="P15" s="23" t="s">
        <v>498</v>
      </c>
      <c r="Q15" s="23" t="s">
        <v>499</v>
      </c>
      <c r="R15" s="23" t="s">
        <v>500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activeCell="J33" sqref="J33"/>
    </sheetView>
  </sheetViews>
  <sheetFormatPr defaultColWidth="9" defaultRowHeight="13.8" x14ac:dyDescent="0.25"/>
  <cols>
    <col min="1" max="1" width="23.88671875" customWidth="1"/>
    <col min="2" max="2" width="19" customWidth="1"/>
    <col min="8" max="8" width="19" customWidth="1"/>
    <col min="9" max="9" width="21.21875" customWidth="1"/>
  </cols>
  <sheetData>
    <row r="1" spans="1:21" s="3" customFormat="1" ht="20.100000000000001" customHeight="1" x14ac:dyDescent="0.25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463</v>
      </c>
      <c r="L1" s="28" t="s">
        <v>463</v>
      </c>
      <c r="M1" s="28" t="s">
        <v>463</v>
      </c>
    </row>
    <row r="2" spans="1:21" s="3" customFormat="1" ht="20.100000000000001" customHeight="1" x14ac:dyDescent="0.25">
      <c r="A2" s="5" t="s">
        <v>460</v>
      </c>
      <c r="B2" s="5" t="s">
        <v>377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421</v>
      </c>
      <c r="I2" s="23" t="s">
        <v>405</v>
      </c>
      <c r="J2" s="9" t="s">
        <v>241</v>
      </c>
      <c r="K2" s="24" t="s">
        <v>332</v>
      </c>
      <c r="L2" s="11"/>
      <c r="U2" s="24"/>
    </row>
    <row r="3" spans="1:21" s="3" customFormat="1" ht="20.100000000000001" customHeight="1" x14ac:dyDescent="0.25">
      <c r="A3" s="5" t="s">
        <v>461</v>
      </c>
      <c r="B3" s="5" t="s">
        <v>409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422</v>
      </c>
      <c r="I3" s="23" t="s">
        <v>445</v>
      </c>
      <c r="J3" s="23" t="s">
        <v>414</v>
      </c>
      <c r="K3" s="24"/>
      <c r="L3" s="11"/>
      <c r="U3" s="24"/>
    </row>
    <row r="4" spans="1:21" s="3" customFormat="1" ht="20.100000000000001" customHeight="1" x14ac:dyDescent="0.25">
      <c r="A4" s="12" t="s">
        <v>462</v>
      </c>
      <c r="B4" s="12" t="s">
        <v>410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274</v>
      </c>
      <c r="I4" s="23" t="s">
        <v>430</v>
      </c>
      <c r="J4" s="23" t="s">
        <v>431</v>
      </c>
      <c r="L4" s="11"/>
      <c r="U4" s="24"/>
    </row>
    <row r="5" spans="1:21" s="3" customFormat="1" ht="20.100000000000001" customHeight="1" x14ac:dyDescent="0.25">
      <c r="A5" s="5" t="s">
        <v>446</v>
      </c>
      <c r="B5" s="5" t="s">
        <v>423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432</v>
      </c>
      <c r="I5" s="23" t="s">
        <v>364</v>
      </c>
      <c r="J5" s="23" t="s">
        <v>433</v>
      </c>
      <c r="L5" s="11"/>
      <c r="U5" s="24"/>
    </row>
    <row r="6" spans="1:21" s="3" customFormat="1" ht="20.100000000000001" customHeight="1" x14ac:dyDescent="0.25">
      <c r="A6" s="12" t="s">
        <v>447</v>
      </c>
      <c r="B6" s="12" t="s">
        <v>424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434</v>
      </c>
      <c r="I6" s="23" t="s">
        <v>414</v>
      </c>
      <c r="J6" s="23" t="s">
        <v>435</v>
      </c>
      <c r="L6" s="11"/>
      <c r="U6" s="24"/>
    </row>
    <row r="7" spans="1:21" s="3" customFormat="1" ht="20.100000000000001" customHeight="1" x14ac:dyDescent="0.25">
      <c r="A7" s="5" t="s">
        <v>448</v>
      </c>
      <c r="B7" s="5" t="s">
        <v>425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436</v>
      </c>
      <c r="I7" s="23" t="s">
        <v>274</v>
      </c>
      <c r="J7" s="23" t="s">
        <v>444</v>
      </c>
      <c r="K7" s="23" t="s">
        <v>437</v>
      </c>
      <c r="L7" s="11"/>
      <c r="U7" s="24"/>
    </row>
    <row r="8" spans="1:21" s="3" customFormat="1" ht="20.100000000000001" customHeight="1" x14ac:dyDescent="0.25">
      <c r="A8" s="5" t="s">
        <v>449</v>
      </c>
      <c r="B8" s="5" t="s">
        <v>426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420</v>
      </c>
      <c r="I8" s="23" t="s">
        <v>440</v>
      </c>
      <c r="J8" s="24" t="s">
        <v>293</v>
      </c>
      <c r="K8" s="24" t="s">
        <v>441</v>
      </c>
      <c r="L8" s="11"/>
    </row>
    <row r="9" spans="1:21" s="3" customFormat="1" ht="20.100000000000001" customHeight="1" x14ac:dyDescent="0.25">
      <c r="A9" s="5" t="s">
        <v>450</v>
      </c>
      <c r="B9" s="5" t="s">
        <v>427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438</v>
      </c>
      <c r="I9" s="23" t="s">
        <v>431</v>
      </c>
      <c r="J9" s="23" t="s">
        <v>439</v>
      </c>
      <c r="K9" s="11"/>
      <c r="L9" s="11"/>
    </row>
    <row r="10" spans="1:21" s="3" customFormat="1" ht="20.100000000000001" customHeight="1" x14ac:dyDescent="0.25">
      <c r="A10" s="12" t="s">
        <v>451</v>
      </c>
      <c r="B10" s="12" t="s">
        <v>428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443</v>
      </c>
      <c r="I10" s="23" t="s">
        <v>442</v>
      </c>
      <c r="J10" s="23" t="s">
        <v>435</v>
      </c>
      <c r="K10" s="11"/>
      <c r="L10" s="11"/>
    </row>
    <row r="11" spans="1:21" s="3" customFormat="1" ht="20.100000000000001" customHeight="1" x14ac:dyDescent="0.25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5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5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5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5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5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5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5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5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5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5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5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5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5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5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5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5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5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5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8" x14ac:dyDescent="0.25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3.8" x14ac:dyDescent="0.25"/>
  <sheetData>
    <row r="5" spans="4:19" x14ac:dyDescent="0.25">
      <c r="F5" t="s">
        <v>256</v>
      </c>
      <c r="G5" t="s">
        <v>257</v>
      </c>
      <c r="J5" t="s">
        <v>258</v>
      </c>
      <c r="M5" t="s">
        <v>259</v>
      </c>
    </row>
    <row r="6" spans="4:19" x14ac:dyDescent="0.25">
      <c r="F6" t="s">
        <v>260</v>
      </c>
      <c r="G6" t="s">
        <v>260</v>
      </c>
      <c r="H6" t="s">
        <v>261</v>
      </c>
      <c r="I6" t="s">
        <v>262</v>
      </c>
      <c r="J6" t="s">
        <v>263</v>
      </c>
      <c r="K6" t="s">
        <v>261</v>
      </c>
      <c r="L6" t="s">
        <v>262</v>
      </c>
      <c r="M6" t="s">
        <v>261</v>
      </c>
      <c r="N6" t="s">
        <v>262</v>
      </c>
      <c r="Q6" s="1">
        <v>1</v>
      </c>
    </row>
    <row r="7" spans="4:19" x14ac:dyDescent="0.25">
      <c r="D7" t="s">
        <v>264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5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5">
      <c r="D10" t="s">
        <v>265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5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5">
      <c r="E12" t="s">
        <v>266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5">
      <c r="E13" t="s">
        <v>267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5">
      <c r="Q14">
        <f>Q13*$O$7</f>
        <v>12.5</v>
      </c>
      <c r="R14">
        <f>Q14*(1+(Q15*0.02))</f>
        <v>13.25</v>
      </c>
    </row>
    <row r="15" spans="4:19" x14ac:dyDescent="0.25">
      <c r="Q15">
        <f>Q13*$O$8</f>
        <v>3</v>
      </c>
    </row>
    <row r="17" spans="17:19" x14ac:dyDescent="0.25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5">
      <c r="Q18">
        <f>Q13*$O$11</f>
        <v>1.8</v>
      </c>
    </row>
    <row r="20" spans="17:19" x14ac:dyDescent="0.25">
      <c r="Q20" s="1">
        <v>5</v>
      </c>
    </row>
    <row r="21" spans="17:19" x14ac:dyDescent="0.25">
      <c r="Q21">
        <f>Q20*$O$7</f>
        <v>31.25</v>
      </c>
      <c r="R21">
        <f>Q21*(1+(Q22*0.02))</f>
        <v>35.9375</v>
      </c>
    </row>
    <row r="22" spans="17:19" x14ac:dyDescent="0.25">
      <c r="Q22">
        <f>Q20*$O$8</f>
        <v>7.5</v>
      </c>
    </row>
    <row r="24" spans="17:19" x14ac:dyDescent="0.25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5">
      <c r="Q25">
        <f>Q20*$O$11</f>
        <v>4.5</v>
      </c>
    </row>
    <row r="27" spans="17:19" x14ac:dyDescent="0.25">
      <c r="Q27" s="1">
        <v>10</v>
      </c>
    </row>
    <row r="28" spans="17:19" x14ac:dyDescent="0.25">
      <c r="Q28">
        <f>Q27*$O$7</f>
        <v>62.5</v>
      </c>
      <c r="R28">
        <f>Q28*(1+(Q29*0.02))</f>
        <v>81.25</v>
      </c>
    </row>
    <row r="29" spans="17:19" x14ac:dyDescent="0.25">
      <c r="Q29">
        <f>Q27*$O$8</f>
        <v>15</v>
      </c>
    </row>
    <row r="31" spans="17:19" x14ac:dyDescent="0.25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5">
      <c r="Q32">
        <f>Q27*$O$11</f>
        <v>9</v>
      </c>
    </row>
    <row r="34" spans="17:19" x14ac:dyDescent="0.25">
      <c r="Q34" s="1">
        <v>15</v>
      </c>
    </row>
    <row r="35" spans="17:19" x14ac:dyDescent="0.25">
      <c r="Q35">
        <f>Q34*$O$7</f>
        <v>93.75</v>
      </c>
      <c r="R35">
        <f>Q35*(1+(Q36*0.02))</f>
        <v>135.9375</v>
      </c>
    </row>
    <row r="36" spans="17:19" x14ac:dyDescent="0.25">
      <c r="Q36">
        <f>Q34*$O$8</f>
        <v>22.5</v>
      </c>
    </row>
    <row r="38" spans="17:19" x14ac:dyDescent="0.25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5">
      <c r="Q39">
        <f>Q34*$O$11</f>
        <v>13.5</v>
      </c>
    </row>
    <row r="41" spans="17:19" x14ac:dyDescent="0.25">
      <c r="Q41" s="1">
        <v>20</v>
      </c>
    </row>
    <row r="42" spans="17:19" x14ac:dyDescent="0.25">
      <c r="Q42">
        <f>Q41*$O$7</f>
        <v>125</v>
      </c>
      <c r="R42">
        <f>Q42*(1+(Q43*0.02))</f>
        <v>200</v>
      </c>
    </row>
    <row r="43" spans="17:19" x14ac:dyDescent="0.25">
      <c r="Q43">
        <f>Q41*$O$8</f>
        <v>30</v>
      </c>
    </row>
    <row r="45" spans="17:19" x14ac:dyDescent="0.25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5">
      <c r="Q46">
        <f>Q41*$O$11</f>
        <v>18</v>
      </c>
    </row>
    <row r="48" spans="17:19" x14ac:dyDescent="0.25">
      <c r="Q48" s="1">
        <v>25</v>
      </c>
    </row>
    <row r="49" spans="17:19" x14ac:dyDescent="0.25">
      <c r="Q49">
        <f>Q48*$O$7</f>
        <v>156.25</v>
      </c>
      <c r="R49">
        <f>Q49*(1+(Q50*0.02))</f>
        <v>273.4375</v>
      </c>
    </row>
    <row r="50" spans="17:19" x14ac:dyDescent="0.25">
      <c r="Q50">
        <f>Q48*$O$8</f>
        <v>37.5</v>
      </c>
    </row>
    <row r="52" spans="17:19" x14ac:dyDescent="0.25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5">
      <c r="Q53">
        <f>Q48*$O$11</f>
        <v>22.5</v>
      </c>
    </row>
    <row r="55" spans="17:19" x14ac:dyDescent="0.25">
      <c r="Q55" s="1">
        <v>35</v>
      </c>
    </row>
    <row r="56" spans="17:19" x14ac:dyDescent="0.25">
      <c r="Q56">
        <f>Q55*$O$7</f>
        <v>218.75</v>
      </c>
      <c r="R56">
        <f>Q56*(1+(Q57*0.02))</f>
        <v>448.43749999999994</v>
      </c>
    </row>
    <row r="57" spans="17:19" x14ac:dyDescent="0.25">
      <c r="Q57">
        <f>Q55*$O$8</f>
        <v>52.5</v>
      </c>
    </row>
    <row r="59" spans="17:19" x14ac:dyDescent="0.25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5">
      <c r="Q60">
        <f>Q55*$O$11</f>
        <v>31.5</v>
      </c>
    </row>
    <row r="62" spans="17:19" x14ac:dyDescent="0.25">
      <c r="Q62" s="1">
        <v>40</v>
      </c>
    </row>
    <row r="63" spans="17:19" x14ac:dyDescent="0.25">
      <c r="Q63">
        <f>Q62*$O$7</f>
        <v>250</v>
      </c>
      <c r="R63">
        <f>Q63*(1+(Q64*0.02))</f>
        <v>550</v>
      </c>
    </row>
    <row r="64" spans="17:19" x14ac:dyDescent="0.25">
      <c r="Q64">
        <f>Q62*$O$8</f>
        <v>60</v>
      </c>
    </row>
    <row r="66" spans="17:19" x14ac:dyDescent="0.25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5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材料</vt:lpstr>
      <vt:lpstr>特殊材料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2026-07-21T13:30:58Z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