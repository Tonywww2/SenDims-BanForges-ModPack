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DCAEFACF-BDC6-40E8-AB54-52D350DE6E36}" xr6:coauthVersionLast="47" xr6:coauthVersionMax="47" xr10:uidLastSave="{00000000-0000-0000-0000-000000000000}"/>
  <bookViews>
    <workbookView xWindow="30612" yWindow="-6720" windowWidth="30936" windowHeight="18816" xr2:uid="{00000000-000D-0000-FFFF-FFFF00000000}"/>
  </bookViews>
  <sheets>
    <sheet name="数值分配" sheetId="3" r:id="rId1"/>
    <sheet name="维度" sheetId="4" r:id="rId2"/>
    <sheet name="普通攻击" sheetId="1" r:id="rId3"/>
  </sheets>
  <calcPr calcId="181029"/>
</workbook>
</file>

<file path=xl/calcChain.xml><?xml version="1.0" encoding="utf-8"?>
<calcChain xmlns="http://schemas.openxmlformats.org/spreadsheetml/2006/main">
  <c r="O21" i="3" l="1"/>
  <c r="AY21" i="3" s="1"/>
  <c r="AZ21" i="3" s="1"/>
  <c r="O20" i="3"/>
  <c r="AY20" i="3" s="1"/>
  <c r="AZ20" i="3" s="1"/>
  <c r="O18" i="3"/>
  <c r="AI18" i="3" s="1"/>
  <c r="AJ18" i="3" s="1"/>
  <c r="O17" i="3"/>
  <c r="AY17" i="3" s="1"/>
  <c r="AZ17" i="3" s="1"/>
  <c r="O16" i="3"/>
  <c r="AY16" i="3" s="1"/>
  <c r="AZ16" i="3" s="1"/>
  <c r="O14" i="3"/>
  <c r="AY14" i="3" s="1"/>
  <c r="AZ14" i="3" s="1"/>
  <c r="O13" i="3"/>
  <c r="AA13" i="3" s="1"/>
  <c r="AB13" i="3" s="1"/>
  <c r="O12" i="3"/>
  <c r="AA12" i="3" s="1"/>
  <c r="AB12" i="3" s="1"/>
  <c r="O10" i="3"/>
  <c r="AY10" i="3" s="1"/>
  <c r="AZ10" i="3" s="1"/>
  <c r="O9" i="3"/>
  <c r="AQ9" i="3" s="1"/>
  <c r="AR9" i="3" s="1"/>
  <c r="O8" i="3"/>
  <c r="AI8" i="3" s="1"/>
  <c r="AJ8" i="3" s="1"/>
  <c r="O7" i="3"/>
  <c r="AY7" i="3" s="1"/>
  <c r="AZ7" i="3" s="1"/>
  <c r="O6" i="3"/>
  <c r="AQ6" i="3" s="1"/>
  <c r="AR6" i="3" s="1"/>
  <c r="AX21" i="3"/>
  <c r="AX20" i="3"/>
  <c r="AX18" i="3"/>
  <c r="AX17" i="3"/>
  <c r="AX16" i="3"/>
  <c r="AX14" i="3"/>
  <c r="AX13" i="3"/>
  <c r="AX12" i="3"/>
  <c r="AX10" i="3"/>
  <c r="AX9" i="3"/>
  <c r="AX8" i="3"/>
  <c r="AX7" i="3"/>
  <c r="S21" i="3"/>
  <c r="T21" i="3" s="1"/>
  <c r="S20" i="3"/>
  <c r="T20" i="3" s="1"/>
  <c r="AP21" i="3"/>
  <c r="AP20" i="3"/>
  <c r="AP18" i="3"/>
  <c r="AP17" i="3"/>
  <c r="AP16" i="3"/>
  <c r="AP14" i="3"/>
  <c r="AP13" i="3"/>
  <c r="AP12" i="3"/>
  <c r="AP10" i="3"/>
  <c r="AP9" i="3"/>
  <c r="AP8" i="3"/>
  <c r="AP7" i="3"/>
  <c r="AH21" i="3"/>
  <c r="AH20" i="3"/>
  <c r="AH18" i="3"/>
  <c r="AH17" i="3"/>
  <c r="AH16" i="3"/>
  <c r="AH14" i="3"/>
  <c r="AH13" i="3"/>
  <c r="AH12" i="3"/>
  <c r="AH10" i="3"/>
  <c r="AH9" i="3"/>
  <c r="AH8" i="3"/>
  <c r="AH7" i="3"/>
  <c r="AI9" i="3"/>
  <c r="AJ9" i="3" s="1"/>
  <c r="Z21" i="3"/>
  <c r="Z20" i="3"/>
  <c r="Z18" i="3"/>
  <c r="Z17" i="3"/>
  <c r="Z16" i="3"/>
  <c r="Z14" i="3"/>
  <c r="Z13" i="3"/>
  <c r="Z12" i="3"/>
  <c r="Z10" i="3"/>
  <c r="Z9" i="3"/>
  <c r="Z8" i="3"/>
  <c r="Z7" i="3"/>
  <c r="P21" i="3"/>
  <c r="Q21" i="3" s="1"/>
  <c r="R21" i="3" s="1"/>
  <c r="P20" i="3"/>
  <c r="Q20" i="3" s="1"/>
  <c r="R20" i="3" s="1"/>
  <c r="P18" i="3"/>
  <c r="Q18" i="3" s="1"/>
  <c r="R18" i="3" s="1"/>
  <c r="P17" i="3"/>
  <c r="Q17" i="3" s="1"/>
  <c r="R17" i="3" s="1"/>
  <c r="P16" i="3"/>
  <c r="Q16" i="3" s="1"/>
  <c r="R16" i="3" s="1"/>
  <c r="P14" i="3"/>
  <c r="S14" i="3" s="1"/>
  <c r="T14" i="3" s="1"/>
  <c r="P13" i="3"/>
  <c r="S13" i="3" s="1"/>
  <c r="T13" i="3" s="1"/>
  <c r="P12" i="3"/>
  <c r="Q12" i="3" s="1"/>
  <c r="R12" i="3" s="1"/>
  <c r="P10" i="3"/>
  <c r="S10" i="3" s="1"/>
  <c r="T10" i="3" s="1"/>
  <c r="P9" i="3"/>
  <c r="S9" i="3" s="1"/>
  <c r="T9" i="3" s="1"/>
  <c r="P8" i="3"/>
  <c r="S8" i="3" s="1"/>
  <c r="T8" i="3" s="1"/>
  <c r="P7" i="3"/>
  <c r="S7" i="3" s="1"/>
  <c r="T7" i="3" s="1"/>
  <c r="AX6" i="3"/>
  <c r="AP6" i="3"/>
  <c r="AH6" i="3"/>
  <c r="Z6" i="3"/>
  <c r="M49" i="1"/>
  <c r="N48" i="1"/>
  <c r="M48" i="1"/>
  <c r="M47" i="1"/>
  <c r="M46" i="1"/>
  <c r="N45" i="1"/>
  <c r="M45" i="1"/>
  <c r="P6" i="3"/>
  <c r="Q6" i="3" s="1"/>
  <c r="R6" i="3" s="1"/>
  <c r="E3" i="1"/>
  <c r="D23" i="1" s="1"/>
  <c r="D45" i="1" l="1"/>
  <c r="E45" i="1" s="1"/>
  <c r="D46" i="1"/>
  <c r="E46" i="1" s="1"/>
  <c r="D47" i="1"/>
  <c r="E47" i="1" s="1"/>
  <c r="L34" i="1"/>
  <c r="M34" i="1" s="1"/>
  <c r="D48" i="1"/>
  <c r="E48" i="1" s="1"/>
  <c r="AA7" i="3"/>
  <c r="AB7" i="3" s="1"/>
  <c r="AA9" i="3"/>
  <c r="AB9" i="3" s="1"/>
  <c r="AA8" i="3"/>
  <c r="AB8" i="3" s="1"/>
  <c r="AY8" i="3"/>
  <c r="AZ8" i="3" s="1"/>
  <c r="S16" i="3"/>
  <c r="T16" i="3" s="1"/>
  <c r="S17" i="3"/>
  <c r="T17" i="3" s="1"/>
  <c r="S18" i="3"/>
  <c r="T18" i="3" s="1"/>
  <c r="AQ7" i="3"/>
  <c r="AR7" i="3" s="1"/>
  <c r="AQ8" i="3"/>
  <c r="AR8" i="3" s="1"/>
  <c r="AI7" i="3"/>
  <c r="AJ7" i="3" s="1"/>
  <c r="AA21" i="3"/>
  <c r="AB21" i="3" s="1"/>
  <c r="AI13" i="3"/>
  <c r="AJ13" i="3" s="1"/>
  <c r="AQ21" i="3"/>
  <c r="AR21" i="3" s="1"/>
  <c r="AI21" i="3"/>
  <c r="AJ21" i="3" s="1"/>
  <c r="AQ16" i="3"/>
  <c r="AR16" i="3" s="1"/>
  <c r="AI17" i="3"/>
  <c r="AJ17" i="3" s="1"/>
  <c r="Q7" i="3"/>
  <c r="R7" i="3" s="1"/>
  <c r="Q8" i="3"/>
  <c r="R8" i="3" s="1"/>
  <c r="Q9" i="3"/>
  <c r="R9" i="3" s="1"/>
  <c r="AY9" i="3"/>
  <c r="AZ9" i="3" s="1"/>
  <c r="AA10" i="3"/>
  <c r="AB10" i="3" s="1"/>
  <c r="AQ10" i="3"/>
  <c r="AR10" i="3" s="1"/>
  <c r="AI10" i="3"/>
  <c r="AJ10" i="3" s="1"/>
  <c r="AI12" i="3"/>
  <c r="AJ12" i="3" s="1"/>
  <c r="AQ17" i="3"/>
  <c r="AR17" i="3" s="1"/>
  <c r="AA14" i="3"/>
  <c r="AB14" i="3" s="1"/>
  <c r="AQ18" i="3"/>
  <c r="AR18" i="3" s="1"/>
  <c r="AI14" i="3"/>
  <c r="AJ14" i="3" s="1"/>
  <c r="AQ20" i="3"/>
  <c r="AR20" i="3" s="1"/>
  <c r="AA16" i="3"/>
  <c r="AB16" i="3" s="1"/>
  <c r="AA17" i="3"/>
  <c r="AB17" i="3" s="1"/>
  <c r="AI20" i="3"/>
  <c r="AJ20" i="3" s="1"/>
  <c r="AA20" i="3"/>
  <c r="AB20" i="3" s="1"/>
  <c r="Q10" i="3"/>
  <c r="R10" i="3" s="1"/>
  <c r="Q13" i="3"/>
  <c r="R13" i="3" s="1"/>
  <c r="AY13" i="3"/>
  <c r="AZ13" i="3" s="1"/>
  <c r="AY12" i="3"/>
  <c r="AZ12" i="3" s="1"/>
  <c r="S12" i="3"/>
  <c r="T12" i="3" s="1"/>
  <c r="AA18" i="3"/>
  <c r="AB18" i="3" s="1"/>
  <c r="AY18" i="3"/>
  <c r="AZ18" i="3" s="1"/>
  <c r="AQ12" i="3"/>
  <c r="AR12" i="3" s="1"/>
  <c r="AQ13" i="3"/>
  <c r="AR13" i="3" s="1"/>
  <c r="AQ14" i="3"/>
  <c r="AR14" i="3" s="1"/>
  <c r="AI16" i="3"/>
  <c r="AJ16" i="3" s="1"/>
  <c r="Q14" i="3"/>
  <c r="R14" i="3" s="1"/>
  <c r="AA6" i="3"/>
  <c r="AB6" i="3" s="1"/>
  <c r="AI6" i="3"/>
  <c r="AJ6" i="3" s="1"/>
  <c r="AY6" i="3"/>
  <c r="AZ6" i="3" s="1"/>
  <c r="S6" i="3"/>
  <c r="T6" i="3" s="1"/>
  <c r="L32" i="1"/>
  <c r="M32" i="1" s="1"/>
  <c r="D32" i="1"/>
  <c r="D33" i="1"/>
  <c r="E33" i="1" s="1"/>
  <c r="L33" i="1"/>
  <c r="D34" i="1"/>
  <c r="E34" i="1" s="1"/>
  <c r="D35" i="1"/>
  <c r="E35" i="1" s="1"/>
  <c r="L35" i="1"/>
  <c r="M35" i="1" s="1"/>
  <c r="D36" i="1"/>
  <c r="E36" i="1" s="1"/>
  <c r="L36" i="1"/>
  <c r="M36" i="1" s="1"/>
  <c r="D37" i="1"/>
  <c r="E37" i="1" s="1"/>
  <c r="L37" i="1"/>
  <c r="M37" i="1" s="1"/>
  <c r="L38" i="1"/>
  <c r="M38" i="1" s="1"/>
  <c r="N32" i="1"/>
  <c r="F32" i="1"/>
  <c r="M33" i="1"/>
  <c r="M39" i="1" s="1"/>
  <c r="N39" i="1" s="1"/>
  <c r="E32" i="1"/>
  <c r="D15" i="1"/>
  <c r="E15" i="1" s="1"/>
  <c r="D24" i="1"/>
  <c r="E24" i="1" s="1"/>
  <c r="D10" i="1"/>
  <c r="D11" i="1"/>
  <c r="E11" i="1" s="1"/>
  <c r="L12" i="1"/>
  <c r="M12" i="1" s="1"/>
  <c r="D13" i="1"/>
  <c r="E13" i="1" s="1"/>
  <c r="L14" i="1"/>
  <c r="M14" i="1" s="1"/>
  <c r="L15" i="1"/>
  <c r="M15" i="1" s="1"/>
  <c r="T10" i="1"/>
  <c r="T11" i="1"/>
  <c r="U11" i="1" s="1"/>
  <c r="T12" i="1"/>
  <c r="U12" i="1" s="1"/>
  <c r="D14" i="1"/>
  <c r="E14" i="1" s="1"/>
  <c r="L16" i="1"/>
  <c r="M16" i="1" s="1"/>
  <c r="D25" i="1"/>
  <c r="E25" i="1" s="1"/>
  <c r="L10" i="1"/>
  <c r="L11" i="1"/>
  <c r="M11" i="1" s="1"/>
  <c r="D12" i="1"/>
  <c r="E12" i="1" s="1"/>
  <c r="L13" i="1"/>
  <c r="M13" i="1" s="1"/>
  <c r="D22" i="1"/>
  <c r="E22" i="1" s="1"/>
  <c r="M26" i="1"/>
  <c r="N25" i="1"/>
  <c r="M25" i="1"/>
  <c r="M24" i="1"/>
  <c r="M23" i="1"/>
  <c r="E23" i="1"/>
  <c r="N22" i="1"/>
  <c r="M22" i="1"/>
  <c r="F36" i="1" l="1"/>
  <c r="E39" i="1"/>
  <c r="F39" i="1" s="1"/>
  <c r="E38" i="1"/>
  <c r="F38" i="1" s="1"/>
  <c r="F10" i="1"/>
  <c r="M10" i="1"/>
  <c r="M17" i="1" s="1"/>
  <c r="N17" i="1" s="1"/>
  <c r="N10" i="1"/>
  <c r="V10" i="1"/>
  <c r="U10" i="1"/>
  <c r="E10" i="1"/>
  <c r="F14" i="1"/>
  <c r="E16" i="1" l="1"/>
  <c r="F16" i="1" s="1"/>
  <c r="E17" i="1"/>
  <c r="F17" i="1" s="1"/>
</calcChain>
</file>

<file path=xl/sharedStrings.xml><?xml version="1.0" encoding="utf-8"?>
<sst xmlns="http://schemas.openxmlformats.org/spreadsheetml/2006/main" count="353" uniqueCount="214">
  <si>
    <t>最终攻击力=面板攻击+横扫之刃+评分等级+杀手附魔</t>
  </si>
  <si>
    <t>面板攻击</t>
  </si>
  <si>
    <t>横扫之刃</t>
  </si>
  <si>
    <t>评分等级</t>
  </si>
  <si>
    <t>杀手附魔</t>
  </si>
  <si>
    <t>最终攻击力</t>
  </si>
  <si>
    <t>敌方护甲</t>
  </si>
  <si>
    <t>暴击率</t>
  </si>
  <si>
    <t>暴击伤害</t>
  </si>
  <si>
    <t>地面A系连段</t>
  </si>
  <si>
    <t>地面B系连段</t>
  </si>
  <si>
    <t>地面C系连段</t>
  </si>
  <si>
    <t>招式</t>
  </si>
  <si>
    <t>攻击次数</t>
  </si>
  <si>
    <t>伤害倍率</t>
  </si>
  <si>
    <t>单次伤害</t>
  </si>
  <si>
    <t>总伤害</t>
  </si>
  <si>
    <t>连段伤害</t>
  </si>
  <si>
    <t>A1</t>
  </si>
  <si>
    <t>A2</t>
  </si>
  <si>
    <t>A3</t>
  </si>
  <si>
    <t>C1</t>
  </si>
  <si>
    <t>A4</t>
  </si>
  <si>
    <t>B1</t>
  </si>
  <si>
    <t>A4XE</t>
  </si>
  <si>
    <t>B2</t>
  </si>
  <si>
    <t>A5XE</t>
  </si>
  <si>
    <t>B3</t>
  </si>
  <si>
    <t>B_END</t>
  </si>
  <si>
    <t>特殊输入</t>
  </si>
  <si>
    <t>空中连招</t>
  </si>
  <si>
    <t>上挑斩</t>
  </si>
  <si>
    <t>疾走居合</t>
  </si>
  <si>
    <t>升龙斩</t>
  </si>
  <si>
    <t>空中下劈</t>
  </si>
  <si>
    <t>时长</t>
    <phoneticPr fontId="2" type="noConversion"/>
  </si>
  <si>
    <t>DPS</t>
    <phoneticPr fontId="2" type="noConversion"/>
  </si>
  <si>
    <t>A</t>
    <phoneticPr fontId="2" type="noConversion"/>
  </si>
  <si>
    <t>A_EX</t>
    <phoneticPr fontId="2" type="noConversion"/>
  </si>
  <si>
    <t>B_FULL</t>
    <phoneticPr fontId="2" type="noConversion"/>
  </si>
  <si>
    <t>SUM</t>
    <phoneticPr fontId="2" type="noConversion"/>
  </si>
  <si>
    <t>最低伤害</t>
    <phoneticPr fontId="2" type="noConversion"/>
  </si>
  <si>
    <t>单次伤害=MAX($I$3,(最终攻击力*伤害倍率-敌方护甲）+(（最终攻击力*伤害倍率*暴击伤害-敌方护甲)-(最终攻击力*伤害倍率-敌方护甲）)*暴击率)</t>
  </si>
  <si>
    <t>地面A系连段_+1</t>
    <phoneticPr fontId="2" type="noConversion"/>
  </si>
  <si>
    <t>地面B系连段_+1</t>
    <phoneticPr fontId="2" type="noConversion"/>
  </si>
  <si>
    <t>.+1数值</t>
    <phoneticPr fontId="2" type="noConversion"/>
  </si>
  <si>
    <t>玩家</t>
    <phoneticPr fontId="3" type="noConversion"/>
  </si>
  <si>
    <t>额外攻击+</t>
    <phoneticPr fontId="3" type="noConversion"/>
  </si>
  <si>
    <t>额外攻击*</t>
    <phoneticPr fontId="3" type="noConversion"/>
  </si>
  <si>
    <t>基础攻击+</t>
    <phoneticPr fontId="3" type="noConversion"/>
  </si>
  <si>
    <t>总攻击</t>
    <phoneticPr fontId="3" type="noConversion"/>
  </si>
  <si>
    <t>总护甲</t>
    <phoneticPr fontId="3" type="noConversion"/>
  </si>
  <si>
    <t>敌人</t>
    <phoneticPr fontId="3" type="noConversion"/>
  </si>
  <si>
    <t>攻击</t>
    <phoneticPr fontId="3" type="noConversion"/>
  </si>
  <si>
    <t>生命</t>
    <phoneticPr fontId="3" type="noConversion"/>
  </si>
  <si>
    <t>护甲</t>
    <phoneticPr fontId="3" type="noConversion"/>
  </si>
  <si>
    <t>韧性</t>
    <phoneticPr fontId="3" type="noConversion"/>
  </si>
  <si>
    <t>均衡模板</t>
    <phoneticPr fontId="3" type="noConversion"/>
  </si>
  <si>
    <t>耐久</t>
    <phoneticPr fontId="3" type="noConversion"/>
  </si>
  <si>
    <t>脆皮模板</t>
    <phoneticPr fontId="3" type="noConversion"/>
  </si>
  <si>
    <t>血牛模板</t>
    <phoneticPr fontId="3" type="noConversion"/>
  </si>
  <si>
    <t>重甲模板</t>
    <phoneticPr fontId="3" type="noConversion"/>
  </si>
  <si>
    <t>韧性+</t>
    <phoneticPr fontId="3" type="noConversion"/>
  </si>
  <si>
    <t>护甲+</t>
    <phoneticPr fontId="3" type="noConversion"/>
  </si>
  <si>
    <t>生命+</t>
    <phoneticPr fontId="3" type="noConversion"/>
  </si>
  <si>
    <t>最低伤害</t>
    <phoneticPr fontId="3" type="noConversion"/>
  </si>
  <si>
    <t>减伤</t>
    <phoneticPr fontId="3" type="noConversion"/>
  </si>
  <si>
    <t>均衡耐久</t>
    <phoneticPr fontId="3" type="noConversion"/>
  </si>
  <si>
    <t>脆皮耐久</t>
    <phoneticPr fontId="3" type="noConversion"/>
  </si>
  <si>
    <t>均衡单次扣血</t>
    <phoneticPr fontId="3" type="noConversion"/>
  </si>
  <si>
    <t>脆皮单次扣血</t>
    <phoneticPr fontId="3" type="noConversion"/>
  </si>
  <si>
    <t>备注</t>
    <phoneticPr fontId="3" type="noConversion"/>
  </si>
  <si>
    <t>饰品</t>
    <phoneticPr fontId="3" type="noConversion"/>
  </si>
  <si>
    <t>护甲+饰品</t>
    <phoneticPr fontId="3" type="noConversion"/>
  </si>
  <si>
    <t>附魔</t>
    <phoneticPr fontId="3" type="noConversion"/>
  </si>
  <si>
    <t>饰品+附魔</t>
    <phoneticPr fontId="3" type="noConversion"/>
  </si>
  <si>
    <t>次数</t>
    <phoneticPr fontId="3" type="noConversion"/>
  </si>
  <si>
    <t>真实护甲</t>
    <phoneticPr fontId="3" type="noConversion"/>
  </si>
  <si>
    <t>ComboA整套伤害</t>
    <phoneticPr fontId="3" type="noConversion"/>
  </si>
  <si>
    <t>玩家Combo倍率</t>
    <phoneticPr fontId="3" type="noConversion"/>
  </si>
  <si>
    <t>证章</t>
    <phoneticPr fontId="3" type="noConversion"/>
  </si>
  <si>
    <t>饰品*其它</t>
    <phoneticPr fontId="3" type="noConversion"/>
  </si>
  <si>
    <t>Tetra</t>
    <phoneticPr fontId="3" type="noConversion"/>
  </si>
  <si>
    <t>基础+精炼</t>
    <phoneticPr fontId="3" type="noConversion"/>
  </si>
  <si>
    <t>基础(单独展示)</t>
    <phoneticPr fontId="3" type="noConversion"/>
  </si>
  <si>
    <t>精炼（单独展示）</t>
    <phoneticPr fontId="3" type="noConversion"/>
  </si>
  <si>
    <t>~30</t>
    <phoneticPr fontId="3" type="noConversion"/>
  </si>
  <si>
    <t>~40</t>
    <phoneticPr fontId="3" type="noConversion"/>
  </si>
  <si>
    <t>~15</t>
    <phoneticPr fontId="3" type="noConversion"/>
  </si>
  <si>
    <t>~20</t>
    <phoneticPr fontId="3" type="noConversion"/>
  </si>
  <si>
    <t>~75</t>
    <phoneticPr fontId="3" type="noConversion"/>
  </si>
  <si>
    <t>100+</t>
    <phoneticPr fontId="3" type="noConversion"/>
  </si>
  <si>
    <r>
      <t>1</t>
    </r>
    <r>
      <rPr>
        <sz val="11"/>
        <color theme="1"/>
        <rFont val="宋体"/>
        <family val="3"/>
        <charset val="134"/>
        <scheme val="minor"/>
      </rPr>
      <t>~2</t>
    </r>
    <phoneticPr fontId="3" type="noConversion"/>
  </si>
  <si>
    <t>0~1</t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</si>
  <si>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~3</t>
    </r>
    <phoneticPr fontId="3" type="noConversion"/>
  </si>
  <si>
    <r>
      <t>3</t>
    </r>
    <r>
      <rPr>
        <sz val="11"/>
        <color theme="1"/>
        <rFont val="宋体"/>
        <family val="3"/>
        <charset val="134"/>
        <scheme val="minor"/>
      </rPr>
      <t>~4</t>
    </r>
    <phoneticPr fontId="3" type="noConversion"/>
  </si>
  <si>
    <t>廉价材料</t>
    <phoneticPr fontId="7" type="noConversion"/>
  </si>
  <si>
    <t>普通材料</t>
    <phoneticPr fontId="7" type="noConversion"/>
  </si>
  <si>
    <t>稀有材料</t>
    <phoneticPr fontId="7" type="noConversion"/>
  </si>
  <si>
    <t>突破材料</t>
    <phoneticPr fontId="7" type="noConversion"/>
  </si>
  <si>
    <t>阶段</t>
    <phoneticPr fontId="7" type="noConversion"/>
  </si>
  <si>
    <r>
      <t>N</t>
    </r>
    <r>
      <rPr>
        <sz val="11"/>
        <color theme="1"/>
        <rFont val="宋体"/>
        <family val="3"/>
        <charset val="134"/>
        <scheme val="minor"/>
      </rPr>
      <t>A</t>
    </r>
    <phoneticPr fontId="7" type="noConversion"/>
  </si>
  <si>
    <t>豆腐</t>
    <phoneticPr fontId="7" type="noConversion"/>
  </si>
  <si>
    <t>深1</t>
    <phoneticPr fontId="7" type="noConversion"/>
  </si>
  <si>
    <t>天境</t>
    <phoneticPr fontId="7" type="noConversion"/>
  </si>
  <si>
    <t>月球</t>
    <phoneticPr fontId="7" type="noConversion"/>
  </si>
  <si>
    <t>下界</t>
    <phoneticPr fontId="7" type="noConversion"/>
  </si>
  <si>
    <t>火星</t>
    <phoneticPr fontId="7" type="noConversion"/>
  </si>
  <si>
    <t>金星</t>
    <phoneticPr fontId="7" type="noConversion"/>
  </si>
  <si>
    <t>水星</t>
    <phoneticPr fontId="7" type="noConversion"/>
  </si>
  <si>
    <t>深3（午夜）</t>
    <phoneticPr fontId="7" type="noConversion"/>
  </si>
  <si>
    <t>深2</t>
    <phoneticPr fontId="7" type="noConversion"/>
  </si>
  <si>
    <t>深园</t>
    <phoneticPr fontId="7" type="noConversion"/>
  </si>
  <si>
    <t>末地</t>
    <phoneticPr fontId="7" type="noConversion"/>
  </si>
  <si>
    <t>小行星</t>
    <phoneticPr fontId="7" type="noConversion"/>
  </si>
  <si>
    <t>土星</t>
    <phoneticPr fontId="7" type="noConversion"/>
  </si>
  <si>
    <t>黄蜂</t>
    <phoneticPr fontId="7" type="noConversion"/>
  </si>
  <si>
    <t>土星环</t>
    <phoneticPr fontId="7" type="noConversion"/>
  </si>
  <si>
    <t>末地里</t>
    <phoneticPr fontId="7" type="noConversion"/>
  </si>
  <si>
    <t>冥王星</t>
    <phoneticPr fontId="7" type="noConversion"/>
  </si>
  <si>
    <t>霜原星</t>
    <phoneticPr fontId="7" type="noConversion"/>
  </si>
  <si>
    <t>深4</t>
    <phoneticPr fontId="7" type="noConversion"/>
  </si>
  <si>
    <t>主世界上</t>
    <phoneticPr fontId="7" type="noConversion"/>
  </si>
  <si>
    <t>主世界下</t>
    <phoneticPr fontId="7" type="noConversion"/>
  </si>
  <si>
    <r>
      <t>0~</t>
    </r>
    <r>
      <rPr>
        <sz val="11"/>
        <color theme="1"/>
        <rFont val="宋体"/>
        <family val="3"/>
        <charset val="134"/>
        <scheme val="minor"/>
      </rPr>
      <t>1</t>
    </r>
    <phoneticPr fontId="7" type="noConversion"/>
  </si>
  <si>
    <r>
      <t>1~</t>
    </r>
    <r>
      <rPr>
        <sz val="11"/>
        <color theme="1"/>
        <rFont val="宋体"/>
        <family val="3"/>
        <charset val="134"/>
        <scheme val="minor"/>
      </rPr>
      <t>2</t>
    </r>
    <phoneticPr fontId="7" type="noConversion"/>
  </si>
  <si>
    <t>2~3</t>
    <phoneticPr fontId="7" type="noConversion"/>
  </si>
  <si>
    <t>3~4</t>
    <phoneticPr fontId="7" type="noConversion"/>
  </si>
  <si>
    <t>4~5</t>
    <phoneticPr fontId="7" type="noConversion"/>
  </si>
  <si>
    <t>NA</t>
    <phoneticPr fontId="7" type="noConversion"/>
  </si>
  <si>
    <t>神能晶</t>
    <phoneticPr fontId="7" type="noConversion"/>
  </si>
  <si>
    <t>戴斯</t>
    <phoneticPr fontId="7" type="noConversion"/>
  </si>
  <si>
    <t>钻石</t>
    <phoneticPr fontId="7" type="noConversion"/>
  </si>
  <si>
    <t>魔幻冰</t>
  </si>
  <si>
    <t>运算处理器</t>
    <phoneticPr fontId="7" type="noConversion"/>
  </si>
  <si>
    <t>凋零头</t>
    <phoneticPr fontId="7" type="noConversion"/>
  </si>
  <si>
    <t>神秘碱晶</t>
    <phoneticPr fontId="7" type="noConversion"/>
  </si>
  <si>
    <t>耐热金属</t>
    <phoneticPr fontId="7" type="noConversion"/>
  </si>
  <si>
    <t>御腐水晶</t>
    <phoneticPr fontId="7" type="noConversion"/>
  </si>
  <si>
    <t>厄瑟锭</t>
    <phoneticPr fontId="7" type="noConversion"/>
  </si>
  <si>
    <t>末地钢</t>
    <phoneticPr fontId="7" type="noConversion"/>
  </si>
  <si>
    <t>逻辑导向零件</t>
    <phoneticPr fontId="7" type="noConversion"/>
  </si>
  <si>
    <t>钍锭</t>
    <phoneticPr fontId="7" type="noConversion"/>
  </si>
  <si>
    <t>锂锭</t>
    <phoneticPr fontId="7" type="noConversion"/>
  </si>
  <si>
    <t>镁锭</t>
    <phoneticPr fontId="7" type="noConversion"/>
  </si>
  <si>
    <t>奇异物质尘</t>
    <phoneticPr fontId="7" type="noConversion"/>
  </si>
  <si>
    <t>泰坦II复合锭</t>
    <phoneticPr fontId="7" type="noConversion"/>
  </si>
  <si>
    <t>古代灵魂</t>
    <phoneticPr fontId="7" type="noConversion"/>
  </si>
  <si>
    <t>虚金</t>
    <phoneticPr fontId="7" type="noConversion"/>
  </si>
  <si>
    <t>不融冰</t>
    <phoneticPr fontId="7" type="noConversion"/>
  </si>
  <si>
    <t>艾普塞隆尘</t>
    <phoneticPr fontId="7" type="noConversion"/>
  </si>
  <si>
    <t>虹移之熵</t>
    <phoneticPr fontId="7" type="noConversion"/>
  </si>
  <si>
    <t>待定</t>
    <phoneticPr fontId="7" type="noConversion"/>
  </si>
  <si>
    <t>末影锭</t>
    <phoneticPr fontId="7" type="noConversion"/>
  </si>
  <si>
    <t>双层电容</t>
    <phoneticPr fontId="7" type="noConversion"/>
  </si>
  <si>
    <t>空散热器</t>
    <phoneticPr fontId="7" type="noConversion"/>
  </si>
  <si>
    <t xml:space="preserve"> NA</t>
    <phoneticPr fontId="7" type="noConversion"/>
  </si>
  <si>
    <t>维度</t>
    <phoneticPr fontId="7" type="noConversion"/>
  </si>
  <si>
    <t>难度分级</t>
    <phoneticPr fontId="7" type="noConversion"/>
  </si>
  <si>
    <t>阶段划分</t>
    <phoneticPr fontId="7" type="noConversion"/>
  </si>
  <si>
    <t>烈焰棒</t>
    <phoneticPr fontId="7" type="noConversion"/>
  </si>
  <si>
    <t>紫金</t>
    <phoneticPr fontId="7" type="noConversion"/>
  </si>
  <si>
    <t>暮色（牛头雪怪后）</t>
    <phoneticPr fontId="7" type="noConversion"/>
  </si>
  <si>
    <t>暮色（骑士前）</t>
    <phoneticPr fontId="7" type="noConversion"/>
  </si>
  <si>
    <t>牛头人肉</t>
    <phoneticPr fontId="7" type="noConversion"/>
  </si>
  <si>
    <t>恶魂泪</t>
    <phoneticPr fontId="7" type="noConversion"/>
  </si>
  <si>
    <t>砷铅铁</t>
  </si>
  <si>
    <t>极地毛坯</t>
    <phoneticPr fontId="7" type="noConversion"/>
  </si>
  <si>
    <t>硫磺块</t>
    <phoneticPr fontId="7" type="noConversion"/>
  </si>
  <si>
    <t>远古金属粒</t>
  </si>
  <si>
    <t>骸龙之骨</t>
    <phoneticPr fontId="7" type="noConversion"/>
  </si>
  <si>
    <t>远古金属锭</t>
    <phoneticPr fontId="7" type="noConversion"/>
  </si>
  <si>
    <t>墨丘利组件</t>
    <phoneticPr fontId="7" type="noConversion"/>
  </si>
  <si>
    <t>魔豆</t>
    <phoneticPr fontId="7" type="noConversion"/>
  </si>
  <si>
    <t>夜冥锭</t>
    <phoneticPr fontId="7" type="noConversion"/>
  </si>
  <si>
    <t>腐化珍珠</t>
    <phoneticPr fontId="7" type="noConversion"/>
  </si>
  <si>
    <t>黑暗珍珠</t>
    <phoneticPr fontId="7" type="noConversion"/>
  </si>
  <si>
    <t>幽光</t>
    <phoneticPr fontId="7" type="noConversion"/>
  </si>
  <si>
    <t>黯铁</t>
    <phoneticPr fontId="7" type="noConversion"/>
  </si>
  <si>
    <t>霜钢</t>
    <phoneticPr fontId="7" type="noConversion"/>
  </si>
  <si>
    <t>贵豪</t>
    <phoneticPr fontId="7" type="noConversion"/>
  </si>
  <si>
    <t>遗忆锭</t>
    <phoneticPr fontId="7" type="noConversion"/>
  </si>
  <si>
    <t>紫菘结晶</t>
    <phoneticPr fontId="7" type="noConversion"/>
  </si>
  <si>
    <t>风暴精华</t>
    <phoneticPr fontId="7" type="noConversion"/>
  </si>
  <si>
    <t>德尔塔尘</t>
    <phoneticPr fontId="7" type="noConversion"/>
  </si>
  <si>
    <t>星空循环组件</t>
    <phoneticPr fontId="7" type="noConversion"/>
  </si>
  <si>
    <t>红石蜜蜂网</t>
    <phoneticPr fontId="7" type="noConversion"/>
  </si>
  <si>
    <t>多面蜜酒</t>
    <phoneticPr fontId="7" type="noConversion"/>
  </si>
  <si>
    <t>ML计算锭</t>
    <phoneticPr fontId="7" type="noConversion"/>
  </si>
  <si>
    <t>阿尔法尘</t>
    <phoneticPr fontId="7" type="noConversion"/>
  </si>
  <si>
    <t>混沌真理</t>
    <phoneticPr fontId="7" type="noConversion"/>
  </si>
  <si>
    <t>奇点合金</t>
    <phoneticPr fontId="7" type="noConversion"/>
  </si>
  <si>
    <t>辐射零件组</t>
    <phoneticPr fontId="7" type="noConversion"/>
  </si>
  <si>
    <t>铁木锭</t>
    <phoneticPr fontId="7" type="noConversion"/>
  </si>
  <si>
    <t>天晶混合</t>
  </si>
  <si>
    <t>金</t>
    <phoneticPr fontId="7" type="noConversion"/>
  </si>
  <si>
    <t>攻击</t>
    <phoneticPr fontId="7" type="noConversion"/>
  </si>
  <si>
    <t>生命</t>
    <phoneticPr fontId="7" type="noConversion"/>
  </si>
  <si>
    <t>MS3C</t>
    <phoneticPr fontId="7" type="noConversion"/>
  </si>
  <si>
    <t>下界合金碎片</t>
  </si>
  <si>
    <t>凋零合金锭</t>
    <phoneticPr fontId="7" type="noConversion"/>
  </si>
  <si>
    <t>娜迦鳞片</t>
    <phoneticPr fontId="7" type="noConversion"/>
  </si>
  <si>
    <t>穹玉</t>
    <phoneticPr fontId="7" type="noConversion"/>
  </si>
  <si>
    <t>太阳能板</t>
    <phoneticPr fontId="7" type="noConversion"/>
  </si>
  <si>
    <t>充能器</t>
    <phoneticPr fontId="7" type="noConversion"/>
  </si>
  <si>
    <t>巨型黑曜石</t>
    <phoneticPr fontId="7" type="noConversion"/>
  </si>
  <si>
    <t>延迟器</t>
    <phoneticPr fontId="7" type="noConversion"/>
  </si>
  <si>
    <t>耐热金属门</t>
    <phoneticPr fontId="7" type="noConversion"/>
  </si>
  <si>
    <t>虚空核心</t>
    <phoneticPr fontId="7" type="noConversion"/>
  </si>
  <si>
    <t>泰拉钢锭</t>
    <phoneticPr fontId="7" type="noConversion"/>
  </si>
  <si>
    <t>元素瓶</t>
    <phoneticPr fontId="7" type="noConversion"/>
  </si>
  <si>
    <t>等级</t>
    <phoneticPr fontId="7" type="noConversion"/>
  </si>
  <si>
    <t>固定</t>
    <phoneticPr fontId="7" type="noConversion"/>
  </si>
  <si>
    <t>百分比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</si>
</sst>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EEE3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6" fillId="22" borderId="0" xfId="6" applyAlignment="1">
      <alignment horizontal="center" vertical="center"/>
    </xf>
    <xf numFmtId="0" fontId="6" fillId="20" borderId="0" xfId="4" applyAlignment="1">
      <alignment horizontal="center" vertical="center"/>
    </xf>
    <xf numFmtId="0" fontId="6" fillId="24" borderId="0" xfId="8" applyAlignment="1">
      <alignment horizontal="center" vertical="center"/>
    </xf>
    <xf numFmtId="0" fontId="6" fillId="18" borderId="0" xfId="2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1" fillId="11" borderId="1" xfId="0" applyFont="1" applyFill="1" applyBorder="1">
      <alignment vertical="center"/>
    </xf>
    <xf numFmtId="0" fontId="6" fillId="14" borderId="1" xfId="5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4" borderId="1" xfId="3" applyFill="1" applyBorder="1" applyAlignment="1">
      <alignment horizontal="center" vertical="center"/>
    </xf>
    <xf numFmtId="0" fontId="6" fillId="30" borderId="1" xfId="5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6" fillId="30" borderId="1" xfId="3" applyFill="1" applyBorder="1" applyAlignment="1">
      <alignment horizontal="center" vertical="center"/>
    </xf>
    <xf numFmtId="0" fontId="6" fillId="30" borderId="1" xfId="7" applyFill="1" applyBorder="1" applyAlignment="1">
      <alignment horizontal="center" vertical="center"/>
    </xf>
    <xf numFmtId="0" fontId="6" fillId="6" borderId="1" xfId="5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3" applyFill="1" applyBorder="1" applyAlignment="1">
      <alignment horizontal="center" vertical="center"/>
    </xf>
    <xf numFmtId="0" fontId="6" fillId="13" borderId="1" xfId="5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3" borderId="1" xfId="3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7" borderId="1" xfId="3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3" borderId="1" xfId="5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7" applyFont="1" applyFill="1" applyBorder="1" applyAlignment="1">
      <alignment horizontal="center" vertical="center"/>
    </xf>
    <xf numFmtId="0" fontId="5" fillId="13" borderId="1" xfId="7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6" fillId="22" borderId="8" xfId="6" applyBorder="1" applyAlignment="1">
      <alignment horizontal="center" vertical="center"/>
    </xf>
    <xf numFmtId="0" fontId="6" fillId="20" borderId="8" xfId="4" applyBorder="1" applyAlignment="1">
      <alignment horizontal="center" vertical="center"/>
    </xf>
    <xf numFmtId="0" fontId="6" fillId="24" borderId="8" xfId="8" applyBorder="1" applyAlignment="1">
      <alignment horizontal="center" vertical="center"/>
    </xf>
    <xf numFmtId="0" fontId="6" fillId="17" borderId="8" xfId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9">
    <cellStyle name="20% - 着色 3" xfId="3" builtinId="38"/>
    <cellStyle name="20% - 着色 4" xfId="5" builtinId="42"/>
    <cellStyle name="20% - 着色 6" xfId="7" builtinId="50"/>
    <cellStyle name="40% - 着色 1" xfId="1" builtinId="31"/>
    <cellStyle name="40% - 着色 3" xfId="4" builtinId="39"/>
    <cellStyle name="40% - 着色 4" xfId="6" builtinId="43"/>
    <cellStyle name="40% - 着色 6" xfId="8" builtinId="51"/>
    <cellStyle name="60% - 着色 1" xfId="2" builtinId="32"/>
    <cellStyle name="常规" xfId="0" builtinId="0"/>
  </cellStyles>
  <dxfs count="0"/>
  <tableStyles count="0" defaultTableStyle="TableStyleMedium2" defaultPivotStyle="PivotStyleLight16"/>
  <colors>
    <mruColors>
      <color rgb="FFFFCCFF"/>
      <color rgb="FFFD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Z21"/>
  <sheetViews>
    <sheetView tabSelected="1" topLeftCell="B1" zoomScale="85" zoomScaleNormal="85" workbookViewId="0">
      <pane xSplit="2" ySplit="5" topLeftCell="Q6" activePane="bottomRight" state="frozen"/>
      <selection activeCell="B1" sqref="B1"/>
      <selection pane="topRight" activeCell="C1" sqref="C1"/>
      <selection pane="bottomLeft" activeCell="B4" sqref="B4"/>
      <selection pane="bottomRight" activeCell="AD23" sqref="AD23"/>
    </sheetView>
  </sheetViews>
  <sheetFormatPr defaultColWidth="15.625" defaultRowHeight="24" customHeight="1" x14ac:dyDescent="0.15"/>
  <cols>
    <col min="1" max="16384" width="15.625" style="8"/>
  </cols>
  <sheetData>
    <row r="1" spans="2:52" ht="24" customHeight="1" x14ac:dyDescent="0.15">
      <c r="D1" s="27" t="s">
        <v>65</v>
      </c>
      <c r="T1" s="16" t="s">
        <v>65</v>
      </c>
      <c r="V1" s="28" t="s">
        <v>79</v>
      </c>
      <c r="W1" s="28">
        <v>0.69</v>
      </c>
      <c r="X1" s="16">
        <v>0.49399999999999999</v>
      </c>
      <c r="Y1" s="16">
        <v>1</v>
      </c>
    </row>
    <row r="2" spans="2:52" ht="24" customHeight="1" x14ac:dyDescent="0.15">
      <c r="D2" s="27">
        <v>0.5</v>
      </c>
      <c r="T2" s="27">
        <v>0.5</v>
      </c>
      <c r="V2" s="29" t="s">
        <v>76</v>
      </c>
      <c r="W2" s="27">
        <v>4</v>
      </c>
      <c r="X2" s="27">
        <v>4</v>
      </c>
      <c r="Y2" s="27">
        <v>1</v>
      </c>
    </row>
    <row r="3" spans="2:52" ht="24" customHeight="1" x14ac:dyDescent="0.15">
      <c r="C3" s="21"/>
      <c r="D3" s="73" t="s">
        <v>46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21"/>
      <c r="R3" s="21"/>
      <c r="S3" s="21"/>
      <c r="T3" s="21"/>
      <c r="V3" s="73" t="s">
        <v>52</v>
      </c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21"/>
    </row>
    <row r="4" spans="2:52" ht="24" customHeight="1" x14ac:dyDescent="0.15">
      <c r="C4" s="21" t="s">
        <v>71</v>
      </c>
      <c r="D4" s="26" t="s">
        <v>82</v>
      </c>
      <c r="E4" s="26" t="s">
        <v>84</v>
      </c>
      <c r="F4" s="26" t="s">
        <v>85</v>
      </c>
      <c r="G4" s="26" t="s">
        <v>83</v>
      </c>
      <c r="H4" s="26" t="s">
        <v>75</v>
      </c>
      <c r="I4" s="26" t="s">
        <v>80</v>
      </c>
      <c r="J4" s="26" t="s">
        <v>81</v>
      </c>
      <c r="K4" s="21" t="s">
        <v>72</v>
      </c>
      <c r="L4" s="21" t="s">
        <v>73</v>
      </c>
      <c r="M4" s="21" t="s">
        <v>73</v>
      </c>
      <c r="N4" s="21" t="s">
        <v>74</v>
      </c>
      <c r="O4" s="21"/>
      <c r="P4" s="21"/>
      <c r="Q4" s="21"/>
      <c r="R4" s="21"/>
      <c r="S4" s="21"/>
      <c r="T4" s="21"/>
      <c r="V4" s="74" t="s">
        <v>57</v>
      </c>
      <c r="W4" s="74"/>
      <c r="X4" s="74"/>
      <c r="Y4" s="74"/>
      <c r="Z4" s="74"/>
      <c r="AA4" s="74"/>
      <c r="AB4" s="21"/>
      <c r="AC4" s="21"/>
      <c r="AD4" s="74" t="s">
        <v>59</v>
      </c>
      <c r="AE4" s="74"/>
      <c r="AF4" s="74"/>
      <c r="AG4" s="74"/>
      <c r="AH4" s="21"/>
      <c r="AI4" s="21"/>
      <c r="AJ4" s="21"/>
      <c r="AK4" s="21"/>
      <c r="AL4" s="74" t="s">
        <v>60</v>
      </c>
      <c r="AM4" s="74"/>
      <c r="AN4" s="74"/>
      <c r="AO4" s="74"/>
      <c r="AP4" s="74"/>
      <c r="AQ4" s="74"/>
      <c r="AR4" s="21"/>
      <c r="AS4" s="21"/>
      <c r="AT4" s="74" t="s">
        <v>61</v>
      </c>
      <c r="AU4" s="74"/>
      <c r="AV4" s="74"/>
      <c r="AW4" s="74"/>
      <c r="AX4" s="74"/>
      <c r="AY4" s="74"/>
      <c r="AZ4" s="21"/>
    </row>
    <row r="5" spans="2:52" ht="24" customHeight="1" x14ac:dyDescent="0.15">
      <c r="C5" s="19"/>
      <c r="D5" s="12" t="s">
        <v>49</v>
      </c>
      <c r="E5" s="34" t="s">
        <v>49</v>
      </c>
      <c r="F5" s="34" t="s">
        <v>49</v>
      </c>
      <c r="G5" s="12" t="s">
        <v>49</v>
      </c>
      <c r="H5" s="13" t="s">
        <v>47</v>
      </c>
      <c r="I5" s="14" t="s">
        <v>48</v>
      </c>
      <c r="J5" s="32" t="s">
        <v>48</v>
      </c>
      <c r="K5" s="15" t="s">
        <v>64</v>
      </c>
      <c r="L5" s="16" t="s">
        <v>63</v>
      </c>
      <c r="M5" s="17" t="s">
        <v>62</v>
      </c>
      <c r="N5" s="23" t="s">
        <v>66</v>
      </c>
      <c r="O5" s="24" t="s">
        <v>50</v>
      </c>
      <c r="P5" s="25" t="s">
        <v>51</v>
      </c>
      <c r="Q5" s="22" t="s">
        <v>69</v>
      </c>
      <c r="R5" s="22" t="s">
        <v>67</v>
      </c>
      <c r="S5" s="22" t="s">
        <v>70</v>
      </c>
      <c r="T5" s="22" t="s">
        <v>68</v>
      </c>
      <c r="V5" s="12" t="s">
        <v>53</v>
      </c>
      <c r="W5" s="15" t="s">
        <v>54</v>
      </c>
      <c r="X5" s="16" t="s">
        <v>55</v>
      </c>
      <c r="Y5" s="17" t="s">
        <v>56</v>
      </c>
      <c r="Z5" s="30" t="s">
        <v>77</v>
      </c>
      <c r="AA5" s="31" t="s">
        <v>78</v>
      </c>
      <c r="AB5" s="31" t="s">
        <v>58</v>
      </c>
      <c r="AD5" s="12" t="s">
        <v>53</v>
      </c>
      <c r="AE5" s="15" t="s">
        <v>54</v>
      </c>
      <c r="AF5" s="16" t="s">
        <v>55</v>
      </c>
      <c r="AG5" s="17" t="s">
        <v>56</v>
      </c>
      <c r="AH5" s="30" t="s">
        <v>77</v>
      </c>
      <c r="AI5" s="31" t="s">
        <v>78</v>
      </c>
      <c r="AJ5" s="31" t="s">
        <v>58</v>
      </c>
      <c r="AL5" s="12" t="s">
        <v>53</v>
      </c>
      <c r="AM5" s="15" t="s">
        <v>54</v>
      </c>
      <c r="AN5" s="16" t="s">
        <v>55</v>
      </c>
      <c r="AO5" s="17" t="s">
        <v>56</v>
      </c>
      <c r="AP5" s="30" t="s">
        <v>77</v>
      </c>
      <c r="AQ5" s="31" t="s">
        <v>78</v>
      </c>
      <c r="AR5" s="31" t="s">
        <v>58</v>
      </c>
      <c r="AT5" s="12" t="s">
        <v>53</v>
      </c>
      <c r="AU5" s="15" t="s">
        <v>54</v>
      </c>
      <c r="AV5" s="16" t="s">
        <v>55</v>
      </c>
      <c r="AW5" s="17" t="s">
        <v>56</v>
      </c>
      <c r="AX5" s="30" t="s">
        <v>77</v>
      </c>
      <c r="AY5" s="31" t="s">
        <v>78</v>
      </c>
      <c r="AZ5" s="31" t="s">
        <v>58</v>
      </c>
    </row>
    <row r="6" spans="2:52" ht="24" customHeight="1" x14ac:dyDescent="0.15">
      <c r="B6" s="71">
        <v>0</v>
      </c>
      <c r="C6" s="19">
        <v>0.1</v>
      </c>
      <c r="D6" s="12">
        <v>2</v>
      </c>
      <c r="E6" s="34">
        <v>2</v>
      </c>
      <c r="F6" s="35">
        <v>0</v>
      </c>
      <c r="G6" s="12">
        <v>2</v>
      </c>
      <c r="H6" s="13">
        <v>2</v>
      </c>
      <c r="I6" s="14">
        <v>1.01</v>
      </c>
      <c r="J6" s="14">
        <v>1</v>
      </c>
      <c r="K6" s="15">
        <v>22</v>
      </c>
      <c r="L6" s="16">
        <v>4</v>
      </c>
      <c r="M6" s="17">
        <v>0</v>
      </c>
      <c r="N6" s="23">
        <v>1</v>
      </c>
      <c r="O6" s="24">
        <f>(D6+H6+G6)*I6*J6</f>
        <v>6.0600000000000005</v>
      </c>
      <c r="P6" s="25">
        <f>L6*(1+(M6*0.02))</f>
        <v>4</v>
      </c>
      <c r="Q6" s="22">
        <f>(V6-MAX($D$2,P6))*N6</f>
        <v>1</v>
      </c>
      <c r="R6" s="22">
        <f>K6/Q6</f>
        <v>22</v>
      </c>
      <c r="S6" s="22">
        <f>(AD6-MAX($D$2,P6))*N6</f>
        <v>1</v>
      </c>
      <c r="T6" s="22">
        <f>K6/S6</f>
        <v>22</v>
      </c>
      <c r="U6" s="8">
        <v>0</v>
      </c>
      <c r="V6" s="12">
        <v>5</v>
      </c>
      <c r="W6" s="15">
        <v>20</v>
      </c>
      <c r="X6" s="16">
        <v>2</v>
      </c>
      <c r="Y6" s="17">
        <v>0</v>
      </c>
      <c r="Z6" s="17">
        <f>X6*(1+(0.02*Y6))</f>
        <v>2</v>
      </c>
      <c r="AA6" s="20">
        <f>(MAX($O6*$W$1-X6, $T$2)*$W$2)+(MAX($O6*$X$1-X6, $T$2)*$X$2)+(MAX($O6*$Y$1-X6, $T$2)*$Y$2)</f>
        <v>16.760159999999999</v>
      </c>
      <c r="AB6" s="20">
        <f>W6/AA6</f>
        <v>1.1933060304913559</v>
      </c>
      <c r="AD6" s="12">
        <v>5</v>
      </c>
      <c r="AE6" s="15">
        <v>18</v>
      </c>
      <c r="AF6" s="16">
        <v>0</v>
      </c>
      <c r="AG6" s="17">
        <v>0</v>
      </c>
      <c r="AH6" s="17">
        <f>AF6*(1+(0.02*AG6))</f>
        <v>0</v>
      </c>
      <c r="AI6" s="20">
        <f>(MAX($O6*$W$1-AF6, $T$2)*$W$2)+(MAX($O6*$X$1-AF6, $T$2)*$X$2)+(MAX($O6*$Y$1-AF6, $T$2)*$Y$2)</f>
        <v>34.760159999999999</v>
      </c>
      <c r="AJ6" s="20">
        <f>AE6/AI6</f>
        <v>0.51783421019926257</v>
      </c>
      <c r="AL6" s="12">
        <v>4</v>
      </c>
      <c r="AM6" s="15">
        <v>50</v>
      </c>
      <c r="AN6" s="16">
        <v>1</v>
      </c>
      <c r="AO6" s="17">
        <v>0</v>
      </c>
      <c r="AP6" s="17">
        <f>AN6*(1+(0.02*AO6))</f>
        <v>1</v>
      </c>
      <c r="AQ6" s="20">
        <f>(MAX($O6*$W$1-AN6, $T$2)*$W$2)+(MAX($O6*$X$1-AN6, $T$2)*$X$2)+(MAX($O6*$Y$1-AN6, $T$2)*$Y$2)</f>
        <v>25.760159999999999</v>
      </c>
      <c r="AR6" s="20">
        <f>AM6/AQ6</f>
        <v>1.9409817330327142</v>
      </c>
      <c r="AT6" s="12">
        <v>4</v>
      </c>
      <c r="AU6" s="15">
        <v>20</v>
      </c>
      <c r="AV6" s="16">
        <v>3</v>
      </c>
      <c r="AW6" s="17">
        <v>0</v>
      </c>
      <c r="AX6" s="17">
        <f>AV6*(1+(0.02*AW6))</f>
        <v>3</v>
      </c>
      <c r="AY6" s="20">
        <f>(MAX($O6*$W$1-AV6, $T$2)*$W$2)+(MAX($O6*$X$1-AV6, $T$2)*$X$2)+(MAX($O6*$Y$1-AV6, $T$2)*$Y$2)</f>
        <v>9.7856000000000005</v>
      </c>
      <c r="AZ6" s="20">
        <f>AU6/AY6</f>
        <v>2.0438194898626554</v>
      </c>
    </row>
    <row r="7" spans="2:52" ht="24" customHeight="1" x14ac:dyDescent="0.15">
      <c r="B7" s="71"/>
      <c r="C7" s="19">
        <v>1.1000000000000001</v>
      </c>
      <c r="D7" s="12">
        <v>6</v>
      </c>
      <c r="E7" s="35">
        <v>3</v>
      </c>
      <c r="F7" s="35">
        <v>1</v>
      </c>
      <c r="G7" s="12">
        <v>4</v>
      </c>
      <c r="H7" s="13">
        <v>4</v>
      </c>
      <c r="I7" s="14">
        <v>1.01</v>
      </c>
      <c r="J7" s="14">
        <v>1.05</v>
      </c>
      <c r="K7" s="15">
        <v>40</v>
      </c>
      <c r="L7" s="16">
        <v>8</v>
      </c>
      <c r="M7" s="17">
        <v>2</v>
      </c>
      <c r="N7" s="23">
        <v>1</v>
      </c>
      <c r="O7" s="24">
        <f>(D7+H7+G7)*I7*J7</f>
        <v>14.847000000000001</v>
      </c>
      <c r="P7" s="25">
        <f t="shared" ref="P7:P10" si="0">L7*(1+(M7*0.02))</f>
        <v>8.32</v>
      </c>
      <c r="Q7" s="22">
        <f>(V7-MAX($D$2,P7))*N7</f>
        <v>1.6799999999999997</v>
      </c>
      <c r="R7" s="22">
        <f>K7/Q7</f>
        <v>23.809523809523814</v>
      </c>
      <c r="S7" s="22">
        <f>(AD7-MAX($D$2,P7))*N7</f>
        <v>3.6799999999999997</v>
      </c>
      <c r="T7" s="22">
        <f>K7/S7</f>
        <v>10.869565217391305</v>
      </c>
      <c r="U7" s="7" t="s">
        <v>93</v>
      </c>
      <c r="V7" s="12">
        <v>10</v>
      </c>
      <c r="W7" s="15">
        <v>55</v>
      </c>
      <c r="X7" s="16">
        <v>4</v>
      </c>
      <c r="Y7" s="17">
        <v>0</v>
      </c>
      <c r="Z7" s="17">
        <f>X7*(1+(0.02*Y7))</f>
        <v>4</v>
      </c>
      <c r="AA7" s="20">
        <f>(MAX($O7*$W$1-X7, $T$2)*$W$2)+(MAX($O7*$X$1-X7, $T$2)*$X$2)+(MAX($O7*$Y$1-X7, $T$2)*$Y$2)</f>
        <v>49.162392000000004</v>
      </c>
      <c r="AB7" s="20">
        <f>W7/AA7</f>
        <v>1.1187413338228132</v>
      </c>
      <c r="AD7" s="12">
        <v>12</v>
      </c>
      <c r="AE7" s="15">
        <v>35</v>
      </c>
      <c r="AF7" s="16">
        <v>2</v>
      </c>
      <c r="AG7" s="17">
        <v>0</v>
      </c>
      <c r="AH7" s="17">
        <f>AF7*(1+(0.02*AG7))</f>
        <v>2</v>
      </c>
      <c r="AI7" s="20">
        <f t="shared" ref="AI7:AI10" si="1">(MAX($O7*$W$1-AF7, $T$2)*$W$2)+(MAX($O7*$X$1-AF7, $T$2)*$X$2)+(MAX($O7*$Y$1-AF7, $T$2)*$Y$2)</f>
        <v>67.162392000000011</v>
      </c>
      <c r="AJ7" s="20">
        <f t="shared" ref="AJ7:AJ10" si="2">AE7/AI7</f>
        <v>0.52112497720450446</v>
      </c>
      <c r="AL7" s="12">
        <v>10</v>
      </c>
      <c r="AM7" s="15">
        <v>120</v>
      </c>
      <c r="AN7" s="16">
        <v>3</v>
      </c>
      <c r="AO7" s="17">
        <v>0</v>
      </c>
      <c r="AP7" s="17">
        <f>AN7*(1+(0.02*AO7))</f>
        <v>3</v>
      </c>
      <c r="AQ7" s="20">
        <f t="shared" ref="AQ7:AQ10" si="3">(MAX($O7*$W$1-AN7, $T$2)*$W$2)+(MAX($O7*$X$1-AN7, $T$2)*$X$2)+(MAX($O7*$Y$1-AN7, $T$2)*$Y$2)</f>
        <v>58.162392000000004</v>
      </c>
      <c r="AR7" s="20">
        <f t="shared" ref="AR7:AR10" si="4">AM7/AQ7</f>
        <v>2.0631888729748251</v>
      </c>
      <c r="AT7" s="12">
        <v>10</v>
      </c>
      <c r="AU7" s="15">
        <v>55</v>
      </c>
      <c r="AV7" s="16">
        <v>7</v>
      </c>
      <c r="AW7" s="17">
        <v>0</v>
      </c>
      <c r="AX7" s="17">
        <f>AV7*(1+(0.02*AW7))</f>
        <v>7</v>
      </c>
      <c r="AY7" s="20">
        <f t="shared" ref="AY7:AY10" si="5">(MAX($O7*$W$1-AV7, $T$2)*$W$2)+(MAX($O7*$X$1-AV7, $T$2)*$X$2)+(MAX($O7*$Y$1-AV7, $T$2)*$Y$2)</f>
        <v>22.824719999999999</v>
      </c>
      <c r="AZ7" s="20">
        <f t="shared" ref="AZ7:AZ10" si="6">AU7/AY7</f>
        <v>2.4096681142200214</v>
      </c>
    </row>
    <row r="8" spans="2:52" ht="24" customHeight="1" x14ac:dyDescent="0.15">
      <c r="B8" s="71">
        <v>1</v>
      </c>
      <c r="C8" s="18">
        <v>1.2</v>
      </c>
      <c r="D8" s="12">
        <v>8</v>
      </c>
      <c r="E8" s="35">
        <v>3</v>
      </c>
      <c r="F8" s="35">
        <v>5</v>
      </c>
      <c r="G8" s="12">
        <v>8</v>
      </c>
      <c r="H8" s="13">
        <v>6</v>
      </c>
      <c r="I8" s="14">
        <v>1.05</v>
      </c>
      <c r="J8" s="14">
        <v>1.1000000000000001</v>
      </c>
      <c r="K8" s="15">
        <v>100</v>
      </c>
      <c r="L8" s="16">
        <v>12</v>
      </c>
      <c r="M8" s="17">
        <v>4</v>
      </c>
      <c r="N8" s="23">
        <v>0.95</v>
      </c>
      <c r="O8" s="24">
        <f>(D8+H8+G8)*I8*J8</f>
        <v>25.410000000000004</v>
      </c>
      <c r="P8" s="25">
        <f t="shared" si="0"/>
        <v>12.96</v>
      </c>
      <c r="Q8" s="22">
        <f>(V8-MAX($D$2,P8))*N8</f>
        <v>7.637999999999999</v>
      </c>
      <c r="R8" s="22">
        <f>K8/Q8</f>
        <v>13.092432573972246</v>
      </c>
      <c r="S8" s="22">
        <f>(AD8-MAX($D$2,P8))*N8</f>
        <v>11.437999999999999</v>
      </c>
      <c r="T8" s="22">
        <f>K8/S8</f>
        <v>8.7427872005595386</v>
      </c>
      <c r="U8" s="8">
        <v>1</v>
      </c>
      <c r="V8" s="12">
        <v>21</v>
      </c>
      <c r="W8" s="15">
        <v>110</v>
      </c>
      <c r="X8" s="16">
        <v>6</v>
      </c>
      <c r="Y8" s="17">
        <v>0</v>
      </c>
      <c r="Z8" s="17">
        <f>X8*(1+(0.02*Y8))</f>
        <v>6</v>
      </c>
      <c r="AA8" s="20">
        <f>(MAX($O8*$W$1-X8, $T$2)*$W$2)+(MAX($O8*$X$1-X8, $T$2)*$X$2)+(MAX($O8*$Y$1-X8, $T$2)*$Y$2)</f>
        <v>91.751760000000019</v>
      </c>
      <c r="AB8" s="20">
        <f>W8/AA8</f>
        <v>1.1988870840188786</v>
      </c>
      <c r="AD8" s="12">
        <v>25</v>
      </c>
      <c r="AE8" s="15">
        <v>64</v>
      </c>
      <c r="AF8" s="16">
        <v>3</v>
      </c>
      <c r="AG8" s="17">
        <v>0</v>
      </c>
      <c r="AH8" s="17">
        <f>AF8*(1+(0.02*AG8))</f>
        <v>3</v>
      </c>
      <c r="AI8" s="20">
        <f t="shared" si="1"/>
        <v>118.75176000000002</v>
      </c>
      <c r="AJ8" s="20">
        <f t="shared" si="2"/>
        <v>0.53893938077212489</v>
      </c>
      <c r="AL8" s="12">
        <v>19</v>
      </c>
      <c r="AM8" s="15">
        <v>240</v>
      </c>
      <c r="AN8" s="16">
        <v>4</v>
      </c>
      <c r="AO8" s="17">
        <v>0</v>
      </c>
      <c r="AP8" s="17">
        <f>AN8*(1+(0.02*AO8))</f>
        <v>4</v>
      </c>
      <c r="AQ8" s="20">
        <f t="shared" si="3"/>
        <v>109.75176000000002</v>
      </c>
      <c r="AR8" s="20">
        <f t="shared" si="4"/>
        <v>2.1867530871486704</v>
      </c>
      <c r="AT8" s="12">
        <v>19</v>
      </c>
      <c r="AU8" s="15">
        <v>110</v>
      </c>
      <c r="AV8" s="16">
        <v>12</v>
      </c>
      <c r="AW8" s="17">
        <v>0</v>
      </c>
      <c r="AX8" s="17">
        <f>AV8*(1+(0.02*AW8))</f>
        <v>12</v>
      </c>
      <c r="AY8" s="20">
        <f t="shared" si="5"/>
        <v>37.751760000000019</v>
      </c>
      <c r="AZ8" s="20">
        <f t="shared" si="6"/>
        <v>2.9137714374111283</v>
      </c>
    </row>
    <row r="9" spans="2:52" ht="24" customHeight="1" x14ac:dyDescent="0.15">
      <c r="B9" s="71"/>
      <c r="C9" s="19">
        <v>1.3</v>
      </c>
      <c r="D9" s="12">
        <v>16</v>
      </c>
      <c r="E9" s="35">
        <v>5</v>
      </c>
      <c r="F9" s="35">
        <v>5</v>
      </c>
      <c r="G9" s="12">
        <v>10</v>
      </c>
      <c r="H9" s="13">
        <v>8</v>
      </c>
      <c r="I9" s="14">
        <v>1.05</v>
      </c>
      <c r="J9" s="14">
        <v>1.2</v>
      </c>
      <c r="K9" s="15">
        <v>200</v>
      </c>
      <c r="L9" s="16">
        <v>16</v>
      </c>
      <c r="M9" s="17">
        <v>6</v>
      </c>
      <c r="N9" s="23">
        <v>0.95</v>
      </c>
      <c r="O9" s="24">
        <f>(D9+H9+G9)*I9*J9</f>
        <v>42.84</v>
      </c>
      <c r="P9" s="25">
        <f t="shared" si="0"/>
        <v>17.920000000000002</v>
      </c>
      <c r="Q9" s="22">
        <f>(V9-MAX($D$2,P9))*N9</f>
        <v>19.075999999999997</v>
      </c>
      <c r="R9" s="22">
        <f>K9/Q9</f>
        <v>10.484378276368213</v>
      </c>
      <c r="S9" s="22">
        <f>(AD9-MAX($D$2,P9))*N9</f>
        <v>28.575999999999997</v>
      </c>
      <c r="T9" s="22">
        <f>K9/S9</f>
        <v>6.9988801791713335</v>
      </c>
      <c r="U9" s="36" t="s">
        <v>92</v>
      </c>
      <c r="V9" s="12">
        <v>38</v>
      </c>
      <c r="W9" s="15">
        <v>210</v>
      </c>
      <c r="X9" s="16">
        <v>8</v>
      </c>
      <c r="Y9" s="17">
        <v>0</v>
      </c>
      <c r="Z9" s="17">
        <f>X9*(1+(0.02*Y9))</f>
        <v>8</v>
      </c>
      <c r="AA9" s="20">
        <f>(MAX($O9*$W$1-X9, $T$2)*$W$2)+(MAX($O9*$X$1-X9, $T$2)*$X$2)+(MAX($O9*$Y$1-X9, $T$2)*$Y$2)</f>
        <v>173.73024000000001</v>
      </c>
      <c r="AB9" s="20">
        <f>W9/AA9</f>
        <v>1.2087705629140901</v>
      </c>
      <c r="AD9" s="12">
        <v>48</v>
      </c>
      <c r="AE9" s="15">
        <v>115</v>
      </c>
      <c r="AF9" s="16">
        <v>4</v>
      </c>
      <c r="AG9" s="17">
        <v>0</v>
      </c>
      <c r="AH9" s="17">
        <f>AF9*(1+(0.02*AG9))</f>
        <v>4</v>
      </c>
      <c r="AI9" s="20">
        <f t="shared" si="1"/>
        <v>209.73024000000001</v>
      </c>
      <c r="AJ9" s="20">
        <f t="shared" si="2"/>
        <v>0.54832340820284187</v>
      </c>
      <c r="AL9" s="12">
        <v>31</v>
      </c>
      <c r="AM9" s="15">
        <v>420</v>
      </c>
      <c r="AN9" s="16">
        <v>6</v>
      </c>
      <c r="AO9" s="17">
        <v>0</v>
      </c>
      <c r="AP9" s="17">
        <f>AN9*(1+(0.02*AO9))</f>
        <v>6</v>
      </c>
      <c r="AQ9" s="20">
        <f t="shared" si="3"/>
        <v>191.73024000000001</v>
      </c>
      <c r="AR9" s="20">
        <f t="shared" si="4"/>
        <v>2.1905777617552662</v>
      </c>
      <c r="AT9" s="12">
        <v>31</v>
      </c>
      <c r="AU9" s="15">
        <v>210</v>
      </c>
      <c r="AV9" s="16">
        <v>20</v>
      </c>
      <c r="AW9" s="17">
        <v>0</v>
      </c>
      <c r="AX9" s="17">
        <f>AV9*(1+(0.02*AW9))</f>
        <v>20</v>
      </c>
      <c r="AY9" s="20">
        <f t="shared" si="5"/>
        <v>65.730240000000009</v>
      </c>
      <c r="AZ9" s="20">
        <f t="shared" si="6"/>
        <v>3.1948765134586452</v>
      </c>
    </row>
    <row r="10" spans="2:52" ht="24" customHeight="1" x14ac:dyDescent="0.15">
      <c r="B10" s="72">
        <v>2</v>
      </c>
      <c r="C10" s="18">
        <v>1.4</v>
      </c>
      <c r="D10" s="12">
        <v>24</v>
      </c>
      <c r="E10" s="35">
        <v>10</v>
      </c>
      <c r="F10" s="35">
        <v>10</v>
      </c>
      <c r="G10" s="12">
        <v>20</v>
      </c>
      <c r="H10" s="13">
        <v>12</v>
      </c>
      <c r="I10" s="14">
        <v>1.1000000000000001</v>
      </c>
      <c r="J10" s="14">
        <v>1.3</v>
      </c>
      <c r="K10" s="15">
        <v>340</v>
      </c>
      <c r="L10" s="16">
        <v>20</v>
      </c>
      <c r="M10" s="17">
        <v>8</v>
      </c>
      <c r="N10" s="23">
        <v>0.9</v>
      </c>
      <c r="O10" s="24">
        <f>(D10+H10+G10)*I10*J10</f>
        <v>80.080000000000013</v>
      </c>
      <c r="P10" s="25">
        <f t="shared" si="0"/>
        <v>23.2</v>
      </c>
      <c r="Q10" s="22">
        <f>(V10-MAX($D$2,P10))*N10</f>
        <v>31.319999999999997</v>
      </c>
      <c r="R10" s="22">
        <f>K10/Q10</f>
        <v>10.855683269476375</v>
      </c>
      <c r="S10" s="22">
        <f>(AD10-MAX($D$2,P10))*N10</f>
        <v>46.62</v>
      </c>
      <c r="T10" s="22">
        <f>K10/S10</f>
        <v>7.2930072930072933</v>
      </c>
      <c r="U10" s="7" t="s">
        <v>92</v>
      </c>
      <c r="V10" s="12">
        <v>58</v>
      </c>
      <c r="W10" s="15">
        <v>450</v>
      </c>
      <c r="X10" s="16">
        <v>10</v>
      </c>
      <c r="Y10" s="17">
        <v>0</v>
      </c>
      <c r="Z10" s="17">
        <f>X10*(1+(0.02*Y10))</f>
        <v>10</v>
      </c>
      <c r="AA10" s="20">
        <f>(MAX($O10*$W$1-X10, $T$2)*$W$2)+(MAX($O10*$X$1-X10, $T$2)*$X$2)+(MAX($O10*$Y$1-X10, $T$2)*$Y$2)</f>
        <v>369.33888000000002</v>
      </c>
      <c r="AB10" s="20">
        <f>W10/AA10</f>
        <v>1.2183932544550955</v>
      </c>
      <c r="AD10" s="12">
        <v>75</v>
      </c>
      <c r="AE10" s="15">
        <v>225</v>
      </c>
      <c r="AF10" s="16">
        <v>5</v>
      </c>
      <c r="AG10" s="17">
        <v>0</v>
      </c>
      <c r="AH10" s="17">
        <f>AF10*(1+(0.02*AG10))</f>
        <v>5</v>
      </c>
      <c r="AI10" s="20">
        <f t="shared" si="1"/>
        <v>414.33888000000002</v>
      </c>
      <c r="AJ10" s="20">
        <f t="shared" si="2"/>
        <v>0.54303376019165761</v>
      </c>
      <c r="AL10" s="12">
        <v>47</v>
      </c>
      <c r="AM10" s="15">
        <v>860</v>
      </c>
      <c r="AN10" s="16">
        <v>8</v>
      </c>
      <c r="AO10" s="17">
        <v>0</v>
      </c>
      <c r="AP10" s="17">
        <f>AN10*(1+(0.02*AO10))</f>
        <v>8</v>
      </c>
      <c r="AQ10" s="20">
        <f t="shared" si="3"/>
        <v>387.33888000000002</v>
      </c>
      <c r="AR10" s="20">
        <f t="shared" si="4"/>
        <v>2.2202780159843494</v>
      </c>
      <c r="AT10" s="12">
        <v>47</v>
      </c>
      <c r="AU10" s="15">
        <v>450</v>
      </c>
      <c r="AV10" s="16">
        <v>35</v>
      </c>
      <c r="AW10" s="17">
        <v>0</v>
      </c>
      <c r="AX10" s="17">
        <f>AV10*(1+(0.02*AW10))</f>
        <v>35</v>
      </c>
      <c r="AY10" s="20">
        <f t="shared" si="5"/>
        <v>144.33888000000005</v>
      </c>
      <c r="AZ10" s="20">
        <f t="shared" si="6"/>
        <v>3.1176630995058288</v>
      </c>
    </row>
    <row r="11" spans="2:52" ht="24" customHeight="1" x14ac:dyDescent="0.15">
      <c r="B11" s="72"/>
    </row>
    <row r="12" spans="2:52" ht="24" customHeight="1" x14ac:dyDescent="0.15">
      <c r="B12" s="72"/>
      <c r="C12" s="19">
        <v>2.1</v>
      </c>
      <c r="D12" s="12">
        <v>32</v>
      </c>
      <c r="E12" s="34">
        <v>20</v>
      </c>
      <c r="F12" s="34" t="s">
        <v>88</v>
      </c>
      <c r="G12" s="12">
        <v>35</v>
      </c>
      <c r="H12" s="13">
        <v>16</v>
      </c>
      <c r="I12" s="14">
        <v>1.1499999999999999</v>
      </c>
      <c r="J12" s="14">
        <v>1.4</v>
      </c>
      <c r="K12" s="15">
        <v>540</v>
      </c>
      <c r="L12" s="16">
        <v>40</v>
      </c>
      <c r="M12" s="17">
        <v>10</v>
      </c>
      <c r="N12" s="23">
        <v>0.9</v>
      </c>
      <c r="O12" s="24">
        <f>(D12+H12+G12)*I12*J12</f>
        <v>133.62999999999997</v>
      </c>
      <c r="P12" s="25">
        <f t="shared" ref="P12:P14" si="7">L12*(1+(M12*0.02))</f>
        <v>48</v>
      </c>
      <c r="Q12" s="22">
        <f>(V12-MAX($D$2,P12))*N12</f>
        <v>55.800000000000004</v>
      </c>
      <c r="R12" s="22">
        <f>K12/Q12</f>
        <v>9.6774193548387082</v>
      </c>
      <c r="S12" s="22">
        <f>(AD12-MAX($D$2,P12))*N12</f>
        <v>78.3</v>
      </c>
      <c r="T12" s="22">
        <f>K12/S12</f>
        <v>6.8965517241379315</v>
      </c>
      <c r="U12" s="7" t="s">
        <v>92</v>
      </c>
      <c r="V12" s="12">
        <v>110</v>
      </c>
      <c r="W12" s="15">
        <v>720</v>
      </c>
      <c r="X12" s="16">
        <v>20</v>
      </c>
      <c r="Y12" s="17">
        <v>0</v>
      </c>
      <c r="Z12" s="17">
        <f t="shared" ref="Z12:Z14" si="8">X12*(1+(0.02*Y12))</f>
        <v>20</v>
      </c>
      <c r="AA12" s="20">
        <f t="shared" ref="AA12:AA14" si="9">(MAX($O12*$W$1-X12, $T$2)*$W$2)+(MAX($O12*$X$1-X12, $T$2)*$X$2)+(MAX($O12*$Y$1-X12, $T$2)*$Y$2)</f>
        <v>586.50167999999985</v>
      </c>
      <c r="AB12" s="20">
        <f t="shared" ref="AB12:AB14" si="10">W12/AA12</f>
        <v>1.2276179669255169</v>
      </c>
      <c r="AD12" s="12">
        <v>135</v>
      </c>
      <c r="AE12" s="33">
        <v>380</v>
      </c>
      <c r="AF12" s="16">
        <v>10</v>
      </c>
      <c r="AG12" s="17">
        <v>0</v>
      </c>
      <c r="AH12" s="17">
        <f t="shared" ref="AH12:AH14" si="11">AF12*(1+(0.02*AG12))</f>
        <v>10</v>
      </c>
      <c r="AI12" s="20">
        <f t="shared" ref="AI12:AI14" si="12">(MAX($O12*$W$1-AF12, $T$2)*$W$2)+(MAX($O12*$X$1-AF12, $T$2)*$X$2)+(MAX($O12*$Y$1-AF12, $T$2)*$Y$2)</f>
        <v>676.50167999999985</v>
      </c>
      <c r="AJ12" s="20">
        <f t="shared" ref="AJ12:AJ14" si="13">AE12/AI12</f>
        <v>0.56171331311401929</v>
      </c>
      <c r="AL12" s="12">
        <v>90</v>
      </c>
      <c r="AM12" s="15">
        <v>1400</v>
      </c>
      <c r="AN12" s="16">
        <v>15</v>
      </c>
      <c r="AO12" s="17">
        <v>0</v>
      </c>
      <c r="AP12" s="17">
        <f t="shared" ref="AP12:AP14" si="14">AN12*(1+(0.02*AO12))</f>
        <v>15</v>
      </c>
      <c r="AQ12" s="20">
        <f t="shared" ref="AQ12:AQ14" si="15">(MAX($O12*$W$1-AN12, $T$2)*$W$2)+(MAX($O12*$X$1-AN12, $T$2)*$X$2)+(MAX($O12*$Y$1-AN12, $T$2)*$Y$2)</f>
        <v>631.50167999999985</v>
      </c>
      <c r="AR12" s="20">
        <f t="shared" ref="AR12:AR14" si="16">AM12/AQ12</f>
        <v>2.2169378868477443</v>
      </c>
      <c r="AT12" s="12">
        <v>90</v>
      </c>
      <c r="AU12" s="15">
        <v>720</v>
      </c>
      <c r="AV12" s="16">
        <v>60</v>
      </c>
      <c r="AW12" s="17">
        <v>0</v>
      </c>
      <c r="AX12" s="17">
        <f t="shared" ref="AX12:AX14" si="17">AV12*(1+(0.02*AW12))</f>
        <v>60</v>
      </c>
      <c r="AY12" s="20">
        <f t="shared" ref="AY12:AY14" si="18">(MAX($O12*$W$1-AV12, $T$2)*$W$2)+(MAX($O12*$X$1-AV12, $T$2)*$X$2)+(MAX($O12*$Y$1-AV12, $T$2)*$Y$2)</f>
        <v>226.50167999999982</v>
      </c>
      <c r="AZ12" s="20">
        <f t="shared" ref="AZ12:AZ14" si="19">AU12/AY12</f>
        <v>3.1787843692815017</v>
      </c>
    </row>
    <row r="13" spans="2:52" ht="24" customHeight="1" x14ac:dyDescent="0.15">
      <c r="B13" s="71">
        <v>3</v>
      </c>
      <c r="C13" s="18">
        <v>2.2000000000000002</v>
      </c>
      <c r="D13" s="12">
        <v>48</v>
      </c>
      <c r="E13" s="35">
        <v>30</v>
      </c>
      <c r="F13" s="34" t="s">
        <v>89</v>
      </c>
      <c r="G13" s="12">
        <v>50</v>
      </c>
      <c r="H13" s="13">
        <v>22</v>
      </c>
      <c r="I13" s="14">
        <v>1.2250000000000001</v>
      </c>
      <c r="J13" s="14">
        <v>1.5</v>
      </c>
      <c r="K13" s="15">
        <v>740</v>
      </c>
      <c r="L13" s="16">
        <v>60</v>
      </c>
      <c r="M13" s="17">
        <v>14</v>
      </c>
      <c r="N13" s="23">
        <v>0.85</v>
      </c>
      <c r="O13" s="24">
        <f>(D13+H13+G13)*I13*J13</f>
        <v>220.5</v>
      </c>
      <c r="P13" s="25">
        <f t="shared" si="7"/>
        <v>76.8</v>
      </c>
      <c r="Q13" s="22">
        <f>(V13-MAX($D$2,P13))*N13</f>
        <v>74.97</v>
      </c>
      <c r="R13" s="22">
        <f>K13/Q13</f>
        <v>9.8706149126317193</v>
      </c>
      <c r="S13" s="22">
        <f>(AD13-MAX($D$2,P13))*N13</f>
        <v>108.96999999999998</v>
      </c>
      <c r="T13" s="22">
        <f>K13/S13</f>
        <v>6.790859869688906</v>
      </c>
      <c r="U13" s="8">
        <v>2</v>
      </c>
      <c r="V13" s="12">
        <v>165</v>
      </c>
      <c r="W13" s="15">
        <v>1250</v>
      </c>
      <c r="X13" s="16">
        <v>30</v>
      </c>
      <c r="Y13" s="17">
        <v>0</v>
      </c>
      <c r="Z13" s="17">
        <f t="shared" si="8"/>
        <v>30</v>
      </c>
      <c r="AA13" s="20">
        <f t="shared" si="9"/>
        <v>994.7879999999999</v>
      </c>
      <c r="AB13" s="20">
        <f t="shared" si="10"/>
        <v>1.2565491340868609</v>
      </c>
      <c r="AD13" s="12">
        <v>205</v>
      </c>
      <c r="AE13" s="15">
        <v>650</v>
      </c>
      <c r="AF13" s="16">
        <v>15</v>
      </c>
      <c r="AG13" s="17">
        <v>0</v>
      </c>
      <c r="AH13" s="17">
        <f t="shared" si="11"/>
        <v>15</v>
      </c>
      <c r="AI13" s="20">
        <f t="shared" si="12"/>
        <v>1129.788</v>
      </c>
      <c r="AJ13" s="20">
        <f t="shared" si="13"/>
        <v>0.57532917680131135</v>
      </c>
      <c r="AL13" s="12">
        <v>140</v>
      </c>
      <c r="AM13" s="15">
        <v>2400</v>
      </c>
      <c r="AN13" s="16">
        <v>20</v>
      </c>
      <c r="AO13" s="17">
        <v>0</v>
      </c>
      <c r="AP13" s="17">
        <f t="shared" si="14"/>
        <v>20</v>
      </c>
      <c r="AQ13" s="20">
        <f t="shared" si="15"/>
        <v>1084.788</v>
      </c>
      <c r="AR13" s="20">
        <f t="shared" si="16"/>
        <v>2.2124138541355545</v>
      </c>
      <c r="AT13" s="12">
        <v>140</v>
      </c>
      <c r="AU13" s="15">
        <v>1250</v>
      </c>
      <c r="AV13" s="16">
        <v>100</v>
      </c>
      <c r="AW13" s="17">
        <v>0</v>
      </c>
      <c r="AX13" s="17">
        <f t="shared" si="17"/>
        <v>100</v>
      </c>
      <c r="AY13" s="20">
        <f t="shared" si="18"/>
        <v>364.7879999999999</v>
      </c>
      <c r="AZ13" s="20">
        <f t="shared" si="19"/>
        <v>3.4266478063971411</v>
      </c>
    </row>
    <row r="14" spans="2:52" ht="24" customHeight="1" x14ac:dyDescent="0.15">
      <c r="B14" s="71"/>
      <c r="C14" s="19">
        <v>2.2999999999999998</v>
      </c>
      <c r="D14" s="12">
        <v>64</v>
      </c>
      <c r="E14" s="35">
        <v>50</v>
      </c>
      <c r="F14" s="34">
        <v>25</v>
      </c>
      <c r="G14" s="12">
        <v>75</v>
      </c>
      <c r="H14" s="13">
        <v>28</v>
      </c>
      <c r="I14" s="14">
        <v>1.3</v>
      </c>
      <c r="J14" s="14">
        <v>1.65</v>
      </c>
      <c r="K14" s="15">
        <v>1000</v>
      </c>
      <c r="L14" s="16">
        <v>80</v>
      </c>
      <c r="M14" s="17">
        <v>18</v>
      </c>
      <c r="N14" s="23">
        <v>0.85</v>
      </c>
      <c r="O14" s="24">
        <f>(D14+H14+G14)*I14*J14</f>
        <v>358.21499999999997</v>
      </c>
      <c r="P14" s="25">
        <f t="shared" si="7"/>
        <v>108.79999999999998</v>
      </c>
      <c r="Q14" s="22">
        <f>(V14-MAX($D$2,P14))*N14</f>
        <v>103.02000000000001</v>
      </c>
      <c r="R14" s="22">
        <f>K14/Q14</f>
        <v>9.7068530382450007</v>
      </c>
      <c r="S14" s="22">
        <f>(AD14-MAX($D$2,P14))*N14</f>
        <v>145.52000000000001</v>
      </c>
      <c r="T14" s="22">
        <f>K14/S14</f>
        <v>6.8719076415612967</v>
      </c>
      <c r="U14" s="7" t="s">
        <v>94</v>
      </c>
      <c r="V14" s="12">
        <v>230</v>
      </c>
      <c r="W14" s="15">
        <v>2200</v>
      </c>
      <c r="X14" s="16">
        <v>40</v>
      </c>
      <c r="Y14" s="17">
        <v>0</v>
      </c>
      <c r="Z14" s="17">
        <f t="shared" si="8"/>
        <v>40</v>
      </c>
      <c r="AA14" s="20">
        <f t="shared" si="9"/>
        <v>1694.7212399999996</v>
      </c>
      <c r="AB14" s="20">
        <f t="shared" si="10"/>
        <v>1.2981485969928603</v>
      </c>
      <c r="AD14" s="12">
        <v>280</v>
      </c>
      <c r="AE14" s="15">
        <v>1100</v>
      </c>
      <c r="AF14" s="16">
        <v>20</v>
      </c>
      <c r="AG14" s="17">
        <v>0</v>
      </c>
      <c r="AH14" s="17">
        <f t="shared" si="11"/>
        <v>20</v>
      </c>
      <c r="AI14" s="20">
        <f t="shared" si="12"/>
        <v>1874.7212399999996</v>
      </c>
      <c r="AJ14" s="20">
        <f t="shared" si="13"/>
        <v>0.58675390054256826</v>
      </c>
      <c r="AL14" s="12">
        <v>190</v>
      </c>
      <c r="AM14" s="15">
        <v>4000</v>
      </c>
      <c r="AN14" s="16">
        <v>30</v>
      </c>
      <c r="AO14" s="17">
        <v>0</v>
      </c>
      <c r="AP14" s="17">
        <f t="shared" si="14"/>
        <v>30</v>
      </c>
      <c r="AQ14" s="20">
        <f t="shared" si="15"/>
        <v>1784.7212399999996</v>
      </c>
      <c r="AR14" s="20">
        <f t="shared" si="16"/>
        <v>2.2412463696571465</v>
      </c>
      <c r="AT14" s="12">
        <v>190</v>
      </c>
      <c r="AU14" s="15">
        <v>2200</v>
      </c>
      <c r="AV14" s="16">
        <v>160</v>
      </c>
      <c r="AW14" s="17">
        <v>0</v>
      </c>
      <c r="AX14" s="17">
        <f t="shared" si="17"/>
        <v>160</v>
      </c>
      <c r="AY14" s="20">
        <f t="shared" si="18"/>
        <v>614.72123999999985</v>
      </c>
      <c r="AZ14" s="20">
        <f t="shared" si="19"/>
        <v>3.5788579551928295</v>
      </c>
    </row>
    <row r="16" spans="2:52" ht="24" customHeight="1" x14ac:dyDescent="0.15">
      <c r="B16" s="71">
        <v>4</v>
      </c>
      <c r="C16" s="19">
        <v>3.1</v>
      </c>
      <c r="D16" s="12">
        <v>80</v>
      </c>
      <c r="E16" s="34">
        <v>60</v>
      </c>
      <c r="F16" s="34" t="s">
        <v>86</v>
      </c>
      <c r="G16" s="12">
        <v>100</v>
      </c>
      <c r="H16" s="13">
        <v>36</v>
      </c>
      <c r="I16" s="14">
        <v>1.4</v>
      </c>
      <c r="J16" s="14">
        <v>1.8</v>
      </c>
      <c r="K16" s="15">
        <v>1300</v>
      </c>
      <c r="L16" s="16">
        <v>110</v>
      </c>
      <c r="M16" s="17">
        <v>26</v>
      </c>
      <c r="N16" s="23">
        <v>0.8</v>
      </c>
      <c r="O16" s="24">
        <f>(D16+H16+G16)*I16*J16</f>
        <v>544.31999999999994</v>
      </c>
      <c r="P16" s="25">
        <f t="shared" ref="P16:P18" si="20">L16*(1+(M16*0.02))</f>
        <v>167.2</v>
      </c>
      <c r="Q16" s="22">
        <f>(V16-MAX($D$2,P16))*N16</f>
        <v>146.24</v>
      </c>
      <c r="R16" s="22">
        <f>K16/Q16</f>
        <v>8.8894967177242883</v>
      </c>
      <c r="S16" s="22">
        <f>(AD16-MAX($D$2,P16))*N16</f>
        <v>206.24</v>
      </c>
      <c r="T16" s="22">
        <f>K16/S16</f>
        <v>6.3033359193173002</v>
      </c>
      <c r="U16" s="8">
        <v>3</v>
      </c>
      <c r="V16" s="12">
        <v>350</v>
      </c>
      <c r="W16" s="15">
        <v>3400</v>
      </c>
      <c r="X16" s="16">
        <v>55</v>
      </c>
      <c r="Y16" s="17">
        <v>0</v>
      </c>
      <c r="Z16" s="17">
        <f t="shared" ref="Z16:Z18" si="21">X16*(1+(0.02*Y16))</f>
        <v>55</v>
      </c>
      <c r="AA16" s="20">
        <f t="shared" ref="AA16:AA18" si="22">(MAX($O16*$W$1-X16, $T$2)*$W$2)+(MAX($O16*$X$1-X16, $T$2)*$X$2)+(MAX($O16*$Y$1-X16, $T$2)*$Y$2)</f>
        <v>2627.2195199999996</v>
      </c>
      <c r="AB16" s="20">
        <f t="shared" ref="AB16:AB18" si="23">W16/AA16</f>
        <v>1.29414385593481</v>
      </c>
      <c r="AD16" s="12">
        <v>425</v>
      </c>
      <c r="AE16" s="15">
        <v>1700</v>
      </c>
      <c r="AF16" s="16">
        <v>30</v>
      </c>
      <c r="AG16" s="17">
        <v>0</v>
      </c>
      <c r="AH16" s="17">
        <f t="shared" ref="AH16:AH18" si="24">AF16*(1+(0.02*AG16))</f>
        <v>30</v>
      </c>
      <c r="AI16" s="20">
        <f t="shared" ref="AI16:AI18" si="25">(MAX($O16*$W$1-AF16, $T$2)*$W$2)+(MAX($O16*$X$1-AF16, $T$2)*$X$2)+(MAX($O16*$Y$1-AF16, $T$2)*$Y$2)</f>
        <v>2852.2195199999996</v>
      </c>
      <c r="AJ16" s="20">
        <f t="shared" ref="AJ16:AJ18" si="26">AE16/AI16</f>
        <v>0.59602705474787587</v>
      </c>
      <c r="AL16" s="12">
        <v>290</v>
      </c>
      <c r="AM16" s="15">
        <v>6400</v>
      </c>
      <c r="AN16" s="16">
        <v>40</v>
      </c>
      <c r="AO16" s="17">
        <v>0</v>
      </c>
      <c r="AP16" s="17">
        <f t="shared" ref="AP16:AP18" si="27">AN16*(1+(0.02*AO16))</f>
        <v>40</v>
      </c>
      <c r="AQ16" s="20">
        <f t="shared" ref="AQ16:AQ18" si="28">(MAX($O16*$W$1-AN16, $T$2)*$W$2)+(MAX($O16*$X$1-AN16, $T$2)*$X$2)+(MAX($O16*$Y$1-AN16, $T$2)*$Y$2)</f>
        <v>2762.2195199999996</v>
      </c>
      <c r="AR16" s="20">
        <f t="shared" ref="AR16:AR18" si="29">AM16/AQ16</f>
        <v>2.3169773269866694</v>
      </c>
      <c r="AT16" s="12">
        <v>290</v>
      </c>
      <c r="AU16" s="15">
        <v>3400</v>
      </c>
      <c r="AV16" s="16">
        <v>240</v>
      </c>
      <c r="AW16" s="17">
        <v>0</v>
      </c>
      <c r="AX16" s="17">
        <f t="shared" ref="AX16:AX18" si="30">AV16*(1+(0.02*AW16))</f>
        <v>240</v>
      </c>
      <c r="AY16" s="20">
        <f t="shared" ref="AY16:AY18" si="31">(MAX($O16*$W$1-AV16, $T$2)*$W$2)+(MAX($O16*$X$1-AV16, $T$2)*$X$2)+(MAX($O16*$Y$1-AV16, $T$2)*$Y$2)</f>
        <v>962.21951999999965</v>
      </c>
      <c r="AZ16" s="20">
        <f t="shared" ref="AZ16:AZ18" si="32">AU16/AY16</f>
        <v>3.5334972210915043</v>
      </c>
    </row>
    <row r="17" spans="2:52" ht="24" customHeight="1" x14ac:dyDescent="0.15">
      <c r="B17" s="71"/>
      <c r="C17" s="18">
        <v>3.2</v>
      </c>
      <c r="D17" s="12">
        <v>120</v>
      </c>
      <c r="E17" s="35">
        <v>65</v>
      </c>
      <c r="F17" s="34" t="s">
        <v>87</v>
      </c>
      <c r="G17" s="12">
        <v>110</v>
      </c>
      <c r="H17" s="13">
        <v>44</v>
      </c>
      <c r="I17" s="14">
        <v>1.5</v>
      </c>
      <c r="J17" s="14">
        <v>1.95</v>
      </c>
      <c r="K17" s="15">
        <v>1600</v>
      </c>
      <c r="L17" s="16">
        <v>140</v>
      </c>
      <c r="M17" s="17">
        <v>34</v>
      </c>
      <c r="N17" s="23">
        <v>0.8</v>
      </c>
      <c r="O17" s="24">
        <f>(D17+H17+G17)*I17*J17</f>
        <v>801.44999999999993</v>
      </c>
      <c r="P17" s="25">
        <f t="shared" si="20"/>
        <v>235.20000000000002</v>
      </c>
      <c r="Q17" s="22">
        <f>(V17-MAX($D$2,P17))*N17</f>
        <v>179.84</v>
      </c>
      <c r="R17" s="22">
        <f>K17/Q17</f>
        <v>8.8967971530249113</v>
      </c>
      <c r="S17" s="22">
        <f>(AD17-MAX($D$2,P17))*N17</f>
        <v>291.83999999999997</v>
      </c>
      <c r="T17" s="22">
        <f>K17/S17</f>
        <v>5.4824561403508776</v>
      </c>
      <c r="U17" s="7" t="s">
        <v>95</v>
      </c>
      <c r="V17" s="12">
        <v>460</v>
      </c>
      <c r="W17" s="15">
        <v>5200</v>
      </c>
      <c r="X17" s="16">
        <v>70</v>
      </c>
      <c r="Y17" s="17">
        <v>0</v>
      </c>
      <c r="Z17" s="17">
        <f t="shared" si="21"/>
        <v>70</v>
      </c>
      <c r="AA17" s="20">
        <f t="shared" si="22"/>
        <v>3967.1171999999992</v>
      </c>
      <c r="AB17" s="20">
        <f t="shared" si="23"/>
        <v>1.3107754920878065</v>
      </c>
      <c r="AD17" s="12">
        <v>600</v>
      </c>
      <c r="AE17" s="15">
        <v>2500</v>
      </c>
      <c r="AF17" s="16">
        <v>40</v>
      </c>
      <c r="AG17" s="17">
        <v>0</v>
      </c>
      <c r="AH17" s="17">
        <f t="shared" si="24"/>
        <v>40</v>
      </c>
      <c r="AI17" s="20">
        <f t="shared" si="25"/>
        <v>4237.1171999999997</v>
      </c>
      <c r="AJ17" s="20">
        <f t="shared" si="26"/>
        <v>0.59002380203219307</v>
      </c>
      <c r="AL17" s="12">
        <v>380</v>
      </c>
      <c r="AM17" s="15">
        <v>10000</v>
      </c>
      <c r="AN17" s="16">
        <v>55</v>
      </c>
      <c r="AO17" s="17">
        <v>0</v>
      </c>
      <c r="AP17" s="17">
        <f t="shared" si="27"/>
        <v>55</v>
      </c>
      <c r="AQ17" s="20">
        <f t="shared" si="28"/>
        <v>4102.1171999999997</v>
      </c>
      <c r="AR17" s="20">
        <f t="shared" si="29"/>
        <v>2.437765551895982</v>
      </c>
      <c r="AT17" s="12">
        <v>380</v>
      </c>
      <c r="AU17" s="15">
        <v>5200</v>
      </c>
      <c r="AV17" s="16">
        <v>350</v>
      </c>
      <c r="AW17" s="17">
        <v>0</v>
      </c>
      <c r="AX17" s="17">
        <f t="shared" si="30"/>
        <v>350</v>
      </c>
      <c r="AY17" s="20">
        <f t="shared" si="31"/>
        <v>1447.1171999999992</v>
      </c>
      <c r="AZ17" s="20">
        <f t="shared" si="32"/>
        <v>3.5933509739225009</v>
      </c>
    </row>
    <row r="18" spans="2:52" ht="24" customHeight="1" x14ac:dyDescent="0.15">
      <c r="B18" s="71"/>
      <c r="C18" s="19">
        <v>3.3</v>
      </c>
      <c r="D18" s="12">
        <v>160</v>
      </c>
      <c r="E18" s="35">
        <v>70</v>
      </c>
      <c r="F18" s="35">
        <v>50</v>
      </c>
      <c r="G18" s="12">
        <v>120</v>
      </c>
      <c r="H18" s="13">
        <v>52</v>
      </c>
      <c r="I18" s="14">
        <v>1.6</v>
      </c>
      <c r="J18" s="14">
        <v>2.1</v>
      </c>
      <c r="K18" s="15">
        <v>1900</v>
      </c>
      <c r="L18" s="16">
        <v>170</v>
      </c>
      <c r="M18" s="17">
        <v>42</v>
      </c>
      <c r="N18" s="23">
        <v>0.7</v>
      </c>
      <c r="O18" s="24">
        <f>(D18+H18+G18)*I18*J18</f>
        <v>1115.5200000000002</v>
      </c>
      <c r="P18" s="25">
        <f t="shared" si="20"/>
        <v>312.79999999999995</v>
      </c>
      <c r="Q18" s="22">
        <f>(V18-MAX($D$2,P18))*N18</f>
        <v>215.04000000000002</v>
      </c>
      <c r="R18" s="22">
        <f>K18/Q18</f>
        <v>8.8355654761904745</v>
      </c>
      <c r="S18" s="22">
        <f>(AD18-MAX($D$2,P18))*N18</f>
        <v>341.04</v>
      </c>
      <c r="T18" s="22">
        <f>K18/S18</f>
        <v>5.571193994839315</v>
      </c>
      <c r="U18" s="7" t="s">
        <v>95</v>
      </c>
      <c r="V18" s="12">
        <v>620</v>
      </c>
      <c r="W18" s="15">
        <v>7400</v>
      </c>
      <c r="X18" s="16">
        <v>85</v>
      </c>
      <c r="Y18" s="17">
        <v>0</v>
      </c>
      <c r="Z18" s="17">
        <f t="shared" si="21"/>
        <v>85</v>
      </c>
      <c r="AA18" s="20">
        <f t="shared" si="22"/>
        <v>5633.6227200000012</v>
      </c>
      <c r="AB18" s="20">
        <f t="shared" si="23"/>
        <v>1.3135419902595107</v>
      </c>
      <c r="AD18" s="12">
        <v>800</v>
      </c>
      <c r="AE18" s="15">
        <v>3600</v>
      </c>
      <c r="AF18" s="16">
        <v>50</v>
      </c>
      <c r="AG18" s="17">
        <v>0</v>
      </c>
      <c r="AH18" s="17">
        <f t="shared" si="24"/>
        <v>50</v>
      </c>
      <c r="AI18" s="20">
        <f t="shared" si="25"/>
        <v>5948.6227200000012</v>
      </c>
      <c r="AJ18" s="20">
        <f t="shared" si="26"/>
        <v>0.60518210171513431</v>
      </c>
      <c r="AL18" s="12">
        <v>520</v>
      </c>
      <c r="AM18" s="15">
        <v>14000</v>
      </c>
      <c r="AN18" s="16">
        <v>70</v>
      </c>
      <c r="AO18" s="17">
        <v>0</v>
      </c>
      <c r="AP18" s="17">
        <f t="shared" si="27"/>
        <v>70</v>
      </c>
      <c r="AQ18" s="20">
        <f t="shared" si="28"/>
        <v>5768.6227200000012</v>
      </c>
      <c r="AR18" s="20">
        <f t="shared" si="29"/>
        <v>2.426922452643947</v>
      </c>
      <c r="AT18" s="12">
        <v>520</v>
      </c>
      <c r="AU18" s="15">
        <v>7400</v>
      </c>
      <c r="AV18" s="16">
        <v>480</v>
      </c>
      <c r="AW18" s="17">
        <v>0</v>
      </c>
      <c r="AX18" s="17">
        <f t="shared" si="30"/>
        <v>480</v>
      </c>
      <c r="AY18" s="20">
        <f t="shared" si="31"/>
        <v>2078.6227200000012</v>
      </c>
      <c r="AZ18" s="20">
        <f t="shared" si="32"/>
        <v>3.5600496082328954</v>
      </c>
    </row>
    <row r="20" spans="2:52" ht="24" customHeight="1" x14ac:dyDescent="0.15">
      <c r="B20" s="71">
        <v>5</v>
      </c>
      <c r="C20" s="18">
        <v>4.0999999999999996</v>
      </c>
      <c r="D20" s="12">
        <v>240</v>
      </c>
      <c r="E20" s="34">
        <v>100</v>
      </c>
      <c r="F20" s="34" t="s">
        <v>90</v>
      </c>
      <c r="G20" s="12">
        <v>220</v>
      </c>
      <c r="H20" s="13">
        <v>62</v>
      </c>
      <c r="I20" s="14">
        <v>1.625</v>
      </c>
      <c r="J20" s="14">
        <v>2.25</v>
      </c>
      <c r="K20" s="15">
        <v>2020</v>
      </c>
      <c r="L20" s="16">
        <v>210</v>
      </c>
      <c r="M20" s="17">
        <v>52</v>
      </c>
      <c r="N20" s="23">
        <v>0.65</v>
      </c>
      <c r="O20" s="24">
        <f>(D20+H20+G20)*I20*J20</f>
        <v>1908.5625</v>
      </c>
      <c r="P20" s="25">
        <f t="shared" ref="P20:P21" si="33">L20*(1+(M20*0.02))</f>
        <v>428.40000000000003</v>
      </c>
      <c r="Q20" s="22">
        <f>(V20-MAX($D$2,P20))*N20</f>
        <v>241.54</v>
      </c>
      <c r="R20" s="22">
        <f>K20/Q20</f>
        <v>8.3630040572989977</v>
      </c>
      <c r="S20" s="22">
        <f>(AD20-MAX($D$2,P20))*N20</f>
        <v>436.53999999999996</v>
      </c>
      <c r="T20" s="22">
        <f>K20/S20</f>
        <v>4.6272964676776471</v>
      </c>
      <c r="U20" s="8">
        <v>4</v>
      </c>
      <c r="V20" s="12">
        <v>800</v>
      </c>
      <c r="W20" s="15">
        <v>14000</v>
      </c>
      <c r="X20" s="16">
        <v>105</v>
      </c>
      <c r="Y20" s="17">
        <v>0</v>
      </c>
      <c r="Z20" s="17">
        <f t="shared" ref="Z20:Z21" si="34">X20*(1+(0.02*Y20))</f>
        <v>105</v>
      </c>
      <c r="AA20" s="20">
        <f t="shared" ref="AA20:AA21" si="35">(MAX($O20*$W$1-X20, $T$2)*$W$2)+(MAX($O20*$X$1-X20, $T$2)*$X$2)+(MAX($O20*$Y$1-X20, $T$2)*$Y$2)</f>
        <v>10002.514499999999</v>
      </c>
      <c r="AB20" s="20">
        <f t="shared" ref="AB20:AB21" si="36">W20/AA20</f>
        <v>1.3996480584956914</v>
      </c>
      <c r="AD20" s="12">
        <v>1100</v>
      </c>
      <c r="AE20" s="15">
        <v>7000</v>
      </c>
      <c r="AF20" s="16">
        <v>60</v>
      </c>
      <c r="AG20" s="17">
        <v>0</v>
      </c>
      <c r="AH20" s="17">
        <f t="shared" ref="AH20:AH21" si="37">AF20*(1+(0.02*AG20))</f>
        <v>60</v>
      </c>
      <c r="AI20" s="20">
        <f t="shared" ref="AI20:AI21" si="38">(MAX($O20*$W$1-AF20, $T$2)*$W$2)+(MAX($O20*$X$1-AF20, $T$2)*$X$2)+(MAX($O20*$Y$1-AF20, $T$2)*$Y$2)</f>
        <v>10407.514499999999</v>
      </c>
      <c r="AJ20" s="20">
        <f t="shared" ref="AJ20:AJ21" si="39">AE20/AI20</f>
        <v>0.67259094378393613</v>
      </c>
      <c r="AL20" s="12">
        <v>700</v>
      </c>
      <c r="AM20" s="15">
        <v>25000</v>
      </c>
      <c r="AN20" s="16">
        <v>90</v>
      </c>
      <c r="AO20" s="17">
        <v>0</v>
      </c>
      <c r="AP20" s="17">
        <f t="shared" ref="AP20:AP21" si="40">AN20*(1+(0.02*AO20))</f>
        <v>90</v>
      </c>
      <c r="AQ20" s="20">
        <f t="shared" ref="AQ20:AQ21" si="41">(MAX($O20*$W$1-AN20, $T$2)*$W$2)+(MAX($O20*$X$1-AN20, $T$2)*$X$2)+(MAX($O20*$Y$1-AN20, $T$2)*$Y$2)</f>
        <v>10137.514499999999</v>
      </c>
      <c r="AR20" s="20">
        <f t="shared" ref="AR20:AR21" si="42">AM20/AQ20</f>
        <v>2.4660877180496268</v>
      </c>
      <c r="AT20" s="12">
        <v>700</v>
      </c>
      <c r="AU20" s="15">
        <v>14000</v>
      </c>
      <c r="AV20" s="16">
        <v>800</v>
      </c>
      <c r="AW20" s="17">
        <v>0</v>
      </c>
      <c r="AX20" s="17">
        <f t="shared" ref="AX20:AX21" si="43">AV20*(1+(0.02*AW20))</f>
        <v>800</v>
      </c>
      <c r="AY20" s="20">
        <f t="shared" ref="AY20:AY21" si="44">(MAX($O20*$W$1-AV20, $T$2)*$W$2)+(MAX($O20*$X$1-AV20, $T$2)*$X$2)+(MAX($O20*$Y$1-AV20, $T$2)*$Y$2)</f>
        <v>3747.5144999999998</v>
      </c>
      <c r="AZ20" s="20">
        <f t="shared" ref="AZ20:AZ21" si="45">AU20/AY20</f>
        <v>3.7358094278220939</v>
      </c>
    </row>
    <row r="21" spans="2:52" ht="24" customHeight="1" x14ac:dyDescent="0.15">
      <c r="B21" s="71"/>
      <c r="C21" s="19">
        <v>4.2</v>
      </c>
      <c r="D21" s="12">
        <v>300</v>
      </c>
      <c r="E21" s="35">
        <v>120</v>
      </c>
      <c r="F21" s="34" t="s">
        <v>91</v>
      </c>
      <c r="G21" s="12">
        <v>250</v>
      </c>
      <c r="H21" s="13">
        <v>72</v>
      </c>
      <c r="I21" s="14">
        <v>1.9</v>
      </c>
      <c r="J21" s="14">
        <v>2.4</v>
      </c>
      <c r="K21" s="15">
        <v>2900</v>
      </c>
      <c r="L21" s="16">
        <v>250</v>
      </c>
      <c r="M21" s="17">
        <v>64</v>
      </c>
      <c r="N21" s="23">
        <v>0.6</v>
      </c>
      <c r="O21" s="24">
        <f>(D21+H21+G21)*I21*J21</f>
        <v>2836.3199999999997</v>
      </c>
      <c r="P21" s="25">
        <f t="shared" si="33"/>
        <v>570.00000000000011</v>
      </c>
      <c r="Q21" s="22">
        <f>(V21-MAX($D$2,P21))*N21</f>
        <v>347.99999999999994</v>
      </c>
      <c r="R21" s="22">
        <f>K21/Q21</f>
        <v>8.3333333333333339</v>
      </c>
      <c r="S21" s="22">
        <f>(AD21-MAX($D$2,P21))*N21</f>
        <v>678</v>
      </c>
      <c r="T21" s="22">
        <f>K21/S21</f>
        <v>4.277286135693215</v>
      </c>
      <c r="U21" s="8">
        <v>5</v>
      </c>
      <c r="V21" s="12">
        <v>1150</v>
      </c>
      <c r="W21" s="15">
        <v>21000</v>
      </c>
      <c r="X21" s="16">
        <v>125</v>
      </c>
      <c r="Y21" s="17">
        <v>0</v>
      </c>
      <c r="Z21" s="17">
        <f t="shared" si="34"/>
        <v>125</v>
      </c>
      <c r="AA21" s="20">
        <f t="shared" si="35"/>
        <v>15144.131519999999</v>
      </c>
      <c r="AB21" s="20">
        <f t="shared" si="36"/>
        <v>1.3866757543848907</v>
      </c>
      <c r="AD21" s="12">
        <v>1700</v>
      </c>
      <c r="AE21" s="15">
        <v>11000</v>
      </c>
      <c r="AF21" s="16">
        <v>70</v>
      </c>
      <c r="AG21" s="17">
        <v>0</v>
      </c>
      <c r="AH21" s="17">
        <f t="shared" si="37"/>
        <v>70</v>
      </c>
      <c r="AI21" s="20">
        <f t="shared" si="38"/>
        <v>15639.131519999999</v>
      </c>
      <c r="AJ21" s="20">
        <f t="shared" si="39"/>
        <v>0.70336386556585473</v>
      </c>
      <c r="AL21" s="12">
        <v>1000</v>
      </c>
      <c r="AM21" s="15">
        <v>40000</v>
      </c>
      <c r="AN21" s="16">
        <v>110</v>
      </c>
      <c r="AO21" s="17">
        <v>0</v>
      </c>
      <c r="AP21" s="17">
        <f t="shared" si="40"/>
        <v>110</v>
      </c>
      <c r="AQ21" s="20">
        <f t="shared" si="41"/>
        <v>15279.131519999999</v>
      </c>
      <c r="AR21" s="20">
        <f t="shared" si="42"/>
        <v>2.61794984535875</v>
      </c>
      <c r="AT21" s="12">
        <v>1000</v>
      </c>
      <c r="AU21" s="15">
        <v>21000</v>
      </c>
      <c r="AV21" s="16">
        <v>1200</v>
      </c>
      <c r="AW21" s="17">
        <v>0</v>
      </c>
      <c r="AX21" s="17">
        <f t="shared" si="43"/>
        <v>1200</v>
      </c>
      <c r="AY21" s="20">
        <f t="shared" si="44"/>
        <v>5469.1315199999981</v>
      </c>
      <c r="AZ21" s="20">
        <f t="shared" si="45"/>
        <v>3.8397321262444257</v>
      </c>
    </row>
  </sheetData>
  <mergeCells count="12">
    <mergeCell ref="D3:P3"/>
    <mergeCell ref="V3:AY3"/>
    <mergeCell ref="AT4:AY4"/>
    <mergeCell ref="AL4:AQ4"/>
    <mergeCell ref="AD4:AG4"/>
    <mergeCell ref="V4:AA4"/>
    <mergeCell ref="B20:B21"/>
    <mergeCell ref="B6:B7"/>
    <mergeCell ref="B8:B9"/>
    <mergeCell ref="B10:B12"/>
    <mergeCell ref="B13:B14"/>
    <mergeCell ref="B16:B18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C5-C710-4410-8433-B168C3A556B3}">
  <dimension ref="A1:U35"/>
  <sheetViews>
    <sheetView workbookViewId="0">
      <pane xSplit="1" topLeftCell="B1" activePane="topRight" state="frozen"/>
      <selection pane="topRight" activeCell="H36" sqref="H36"/>
    </sheetView>
  </sheetViews>
  <sheetFormatPr defaultColWidth="16.625" defaultRowHeight="18" customHeight="1" x14ac:dyDescent="0.15"/>
  <cols>
    <col min="1" max="1" width="12.625" style="5" customWidth="1"/>
    <col min="2" max="4" width="16.625" style="5" customWidth="1"/>
    <col min="5" max="8" width="16.625" style="5"/>
    <col min="9" max="9" width="8.625" style="5" customWidth="1"/>
    <col min="10" max="10" width="2.625" style="5" customWidth="1"/>
    <col min="11" max="14" width="16.625" style="5"/>
    <col min="15" max="15" width="8.625" style="5" customWidth="1"/>
    <col min="16" max="16" width="2.625" style="5" customWidth="1"/>
    <col min="17" max="20" width="16.625" style="5"/>
    <col min="21" max="21" width="8.625" style="5" customWidth="1"/>
    <col min="22" max="16384" width="16.625" style="5"/>
  </cols>
  <sheetData>
    <row r="1" spans="1:21" ht="18" customHeight="1" x14ac:dyDescent="0.15">
      <c r="E1" s="75" t="s">
        <v>96</v>
      </c>
      <c r="F1" s="75"/>
      <c r="G1" s="75"/>
      <c r="H1" s="75"/>
      <c r="I1" s="37" t="s">
        <v>159</v>
      </c>
      <c r="K1" s="76" t="s">
        <v>97</v>
      </c>
      <c r="L1" s="76"/>
      <c r="M1" s="76"/>
      <c r="N1" s="76"/>
      <c r="O1" s="38" t="s">
        <v>159</v>
      </c>
      <c r="Q1" s="77" t="s">
        <v>98</v>
      </c>
      <c r="R1" s="77"/>
      <c r="S1" s="77"/>
      <c r="T1" s="77"/>
      <c r="U1" s="39" t="s">
        <v>159</v>
      </c>
    </row>
    <row r="2" spans="1:21" ht="18" customHeight="1" x14ac:dyDescent="0.15">
      <c r="A2" s="40" t="s">
        <v>158</v>
      </c>
      <c r="B2" s="78" t="s">
        <v>157</v>
      </c>
      <c r="C2" s="78"/>
      <c r="D2" s="78"/>
      <c r="E2" s="93" t="s">
        <v>196</v>
      </c>
      <c r="F2" s="93"/>
      <c r="G2" s="93" t="s">
        <v>197</v>
      </c>
      <c r="H2" s="93"/>
      <c r="K2" s="93" t="s">
        <v>196</v>
      </c>
      <c r="L2" s="93"/>
      <c r="M2" s="93" t="s">
        <v>197</v>
      </c>
      <c r="N2" s="93"/>
      <c r="Q2" s="93" t="s">
        <v>196</v>
      </c>
      <c r="R2" s="93"/>
      <c r="S2" s="93" t="s">
        <v>197</v>
      </c>
      <c r="T2" s="93"/>
    </row>
    <row r="3" spans="1:21" ht="18" customHeight="1" x14ac:dyDescent="0.15">
      <c r="A3" s="41">
        <v>0.1</v>
      </c>
      <c r="B3" s="3" t="s">
        <v>102</v>
      </c>
      <c r="C3" s="3" t="s">
        <v>122</v>
      </c>
      <c r="D3" s="1"/>
      <c r="E3" s="79"/>
      <c r="F3" s="80"/>
      <c r="G3" s="80"/>
      <c r="H3" s="81"/>
      <c r="I3" s="91" t="s">
        <v>129</v>
      </c>
      <c r="K3" s="79"/>
      <c r="L3" s="80"/>
      <c r="M3" s="80"/>
      <c r="N3" s="81"/>
      <c r="O3" s="45" t="s">
        <v>129</v>
      </c>
      <c r="Q3" s="79"/>
      <c r="R3" s="80"/>
      <c r="S3" s="80"/>
      <c r="T3" s="81"/>
      <c r="U3" s="98" t="s">
        <v>156</v>
      </c>
    </row>
    <row r="4" spans="1:21" ht="18" customHeight="1" x14ac:dyDescent="0.15">
      <c r="A4" s="42">
        <v>1.1000000000000001</v>
      </c>
      <c r="B4" s="3" t="s">
        <v>103</v>
      </c>
      <c r="C4" s="1"/>
      <c r="D4" s="1"/>
      <c r="E4" s="82"/>
      <c r="F4" s="83"/>
      <c r="G4" s="83"/>
      <c r="H4" s="84"/>
      <c r="I4" s="92"/>
      <c r="K4" s="49" t="s">
        <v>133</v>
      </c>
      <c r="L4" s="49"/>
      <c r="M4" s="49" t="s">
        <v>134</v>
      </c>
      <c r="N4" s="47"/>
      <c r="O4" s="88">
        <v>0</v>
      </c>
      <c r="Q4" s="85"/>
      <c r="R4" s="86"/>
      <c r="S4" s="86"/>
      <c r="T4" s="87"/>
      <c r="U4" s="99"/>
    </row>
    <row r="5" spans="1:21" ht="18" customHeight="1" x14ac:dyDescent="0.15">
      <c r="A5" s="42">
        <v>1.2</v>
      </c>
      <c r="B5" s="3" t="s">
        <v>163</v>
      </c>
      <c r="C5" s="3" t="s">
        <v>104</v>
      </c>
      <c r="D5" s="3" t="s">
        <v>105</v>
      </c>
      <c r="E5" s="46" t="s">
        <v>195</v>
      </c>
      <c r="F5" s="46" t="s">
        <v>130</v>
      </c>
      <c r="G5" s="46" t="s">
        <v>131</v>
      </c>
      <c r="H5" s="48" t="s">
        <v>132</v>
      </c>
      <c r="I5" s="103">
        <v>0</v>
      </c>
      <c r="K5" s="48" t="s">
        <v>193</v>
      </c>
      <c r="L5" s="48"/>
      <c r="M5" s="48" t="s">
        <v>194</v>
      </c>
      <c r="N5" s="47"/>
      <c r="O5" s="89"/>
      <c r="Q5" s="85"/>
      <c r="R5" s="86"/>
      <c r="S5" s="86"/>
      <c r="T5" s="87"/>
      <c r="U5" s="99"/>
    </row>
    <row r="6" spans="1:21" ht="18" customHeight="1" x14ac:dyDescent="0.15">
      <c r="A6" s="42">
        <v>1.3</v>
      </c>
      <c r="B6" s="3" t="s">
        <v>106</v>
      </c>
      <c r="C6" s="3"/>
      <c r="D6" s="1"/>
      <c r="E6" s="48"/>
      <c r="F6" s="47"/>
      <c r="G6" s="48" t="s">
        <v>160</v>
      </c>
      <c r="H6" s="47"/>
      <c r="I6" s="103"/>
      <c r="K6" s="48" t="s">
        <v>165</v>
      </c>
      <c r="L6" s="48"/>
      <c r="M6" s="48"/>
      <c r="N6" s="47"/>
      <c r="O6" s="89"/>
      <c r="Q6" s="82"/>
      <c r="R6" s="83"/>
      <c r="S6" s="83"/>
      <c r="T6" s="84"/>
      <c r="U6" s="99"/>
    </row>
    <row r="7" spans="1:21" ht="18" customHeight="1" x14ac:dyDescent="0.15">
      <c r="A7" s="42">
        <v>1.4</v>
      </c>
      <c r="B7" s="3" t="s">
        <v>107</v>
      </c>
      <c r="C7" s="3" t="s">
        <v>162</v>
      </c>
      <c r="D7" s="1"/>
      <c r="E7" s="48" t="s">
        <v>161</v>
      </c>
      <c r="F7" s="48"/>
      <c r="G7" s="48" t="s">
        <v>164</v>
      </c>
      <c r="H7" s="47"/>
      <c r="I7" s="103"/>
      <c r="K7" s="48" t="s">
        <v>167</v>
      </c>
      <c r="L7" s="48"/>
      <c r="M7" s="47" t="s">
        <v>166</v>
      </c>
      <c r="N7" s="47"/>
      <c r="O7" s="90"/>
      <c r="Q7" s="54" t="s">
        <v>199</v>
      </c>
      <c r="R7" s="54" t="s">
        <v>135</v>
      </c>
      <c r="S7" s="54" t="s">
        <v>153</v>
      </c>
      <c r="T7" s="51" t="s">
        <v>173</v>
      </c>
      <c r="U7" s="94">
        <v>1</v>
      </c>
    </row>
    <row r="8" spans="1:21" ht="18" customHeight="1" x14ac:dyDescent="0.15">
      <c r="A8" s="43">
        <v>2.1</v>
      </c>
      <c r="B8" s="3" t="s">
        <v>111</v>
      </c>
      <c r="C8" s="3" t="s">
        <v>108</v>
      </c>
      <c r="D8" s="3" t="s">
        <v>109</v>
      </c>
      <c r="E8" s="48" t="s">
        <v>168</v>
      </c>
      <c r="F8" s="48"/>
      <c r="G8" s="47" t="s">
        <v>169</v>
      </c>
      <c r="H8" s="47"/>
      <c r="I8" s="103"/>
      <c r="K8" s="53" t="s">
        <v>136</v>
      </c>
      <c r="L8" s="53" t="s">
        <v>137</v>
      </c>
      <c r="M8" s="53" t="s">
        <v>154</v>
      </c>
      <c r="N8" s="51" t="s">
        <v>170</v>
      </c>
      <c r="O8" s="94">
        <v>1</v>
      </c>
      <c r="Q8" s="51" t="s">
        <v>171</v>
      </c>
      <c r="R8" s="51"/>
      <c r="S8" s="51" t="s">
        <v>172</v>
      </c>
      <c r="T8" s="51" t="s">
        <v>198</v>
      </c>
      <c r="U8" s="94"/>
    </row>
    <row r="9" spans="1:21" ht="18" customHeight="1" x14ac:dyDescent="0.15">
      <c r="A9" s="43">
        <v>2.2000000000000002</v>
      </c>
      <c r="B9" s="3" t="s">
        <v>110</v>
      </c>
      <c r="C9" s="3" t="s">
        <v>112</v>
      </c>
      <c r="D9" s="1"/>
      <c r="E9" s="50" t="s">
        <v>175</v>
      </c>
      <c r="F9" s="50" t="s">
        <v>174</v>
      </c>
      <c r="G9" s="50" t="s">
        <v>138</v>
      </c>
      <c r="H9" s="50" t="s">
        <v>139</v>
      </c>
      <c r="I9" s="94">
        <v>1</v>
      </c>
      <c r="K9" s="51" t="s">
        <v>176</v>
      </c>
      <c r="L9" s="51" t="s">
        <v>177</v>
      </c>
      <c r="M9" s="51" t="s">
        <v>178</v>
      </c>
      <c r="N9" s="51" t="s">
        <v>179</v>
      </c>
      <c r="O9" s="94"/>
      <c r="Q9" s="33" t="s">
        <v>180</v>
      </c>
      <c r="R9" s="33"/>
      <c r="S9" s="33" t="s">
        <v>181</v>
      </c>
      <c r="T9" s="56"/>
      <c r="U9" s="95">
        <v>2</v>
      </c>
    </row>
    <row r="10" spans="1:21" ht="18" customHeight="1" x14ac:dyDescent="0.15">
      <c r="A10" s="43">
        <v>2.2999999999999998</v>
      </c>
      <c r="B10" s="3" t="s">
        <v>113</v>
      </c>
      <c r="C10" s="3"/>
      <c r="D10" s="1"/>
      <c r="E10" s="51" t="s">
        <v>182</v>
      </c>
      <c r="F10" s="52"/>
      <c r="G10" s="52"/>
      <c r="H10" s="52"/>
      <c r="I10" s="94"/>
      <c r="K10" s="57" t="s">
        <v>141</v>
      </c>
      <c r="L10" s="57"/>
      <c r="M10" s="57" t="s">
        <v>155</v>
      </c>
      <c r="N10" s="33" t="s">
        <v>140</v>
      </c>
      <c r="O10" s="95">
        <v>2</v>
      </c>
      <c r="Q10" s="33" t="s">
        <v>101</v>
      </c>
      <c r="R10" s="56"/>
      <c r="S10" s="56"/>
      <c r="T10" s="56"/>
      <c r="U10" s="95"/>
    </row>
    <row r="11" spans="1:21" ht="18" customHeight="1" x14ac:dyDescent="0.15">
      <c r="A11" s="65">
        <v>3.1</v>
      </c>
      <c r="B11" s="3" t="s">
        <v>114</v>
      </c>
      <c r="C11" s="3"/>
      <c r="D11" s="1"/>
      <c r="E11" s="55" t="s">
        <v>142</v>
      </c>
      <c r="F11" s="55" t="s">
        <v>143</v>
      </c>
      <c r="G11" s="55" t="s">
        <v>144</v>
      </c>
      <c r="H11" s="55" t="s">
        <v>145</v>
      </c>
      <c r="I11" s="95">
        <v>2</v>
      </c>
      <c r="K11" s="33"/>
      <c r="L11" s="56"/>
      <c r="M11" s="33" t="s">
        <v>184</v>
      </c>
      <c r="N11" s="56"/>
      <c r="O11" s="95"/>
      <c r="Q11" s="61" t="s">
        <v>183</v>
      </c>
      <c r="R11" s="61"/>
      <c r="S11" s="61" t="s">
        <v>185</v>
      </c>
      <c r="T11" s="59"/>
      <c r="U11" s="96">
        <v>3</v>
      </c>
    </row>
    <row r="12" spans="1:21" ht="18" customHeight="1" x14ac:dyDescent="0.15">
      <c r="A12" s="65">
        <v>3.2</v>
      </c>
      <c r="B12" s="3" t="s">
        <v>115</v>
      </c>
      <c r="C12" s="3" t="s">
        <v>116</v>
      </c>
      <c r="D12" s="1"/>
      <c r="E12" s="33"/>
      <c r="F12" s="56"/>
      <c r="G12" s="33" t="s">
        <v>186</v>
      </c>
      <c r="H12" s="56"/>
      <c r="I12" s="95"/>
      <c r="K12" s="33"/>
      <c r="L12" s="56"/>
      <c r="M12" s="33" t="s">
        <v>187</v>
      </c>
      <c r="N12" s="56"/>
      <c r="O12" s="95"/>
      <c r="Q12" s="69" t="s">
        <v>152</v>
      </c>
      <c r="R12" s="59"/>
      <c r="S12" s="59"/>
      <c r="T12" s="59"/>
      <c r="U12" s="96"/>
    </row>
    <row r="13" spans="1:21" ht="18" customHeight="1" x14ac:dyDescent="0.15">
      <c r="A13" s="65">
        <v>3.3</v>
      </c>
      <c r="B13" s="3" t="s">
        <v>117</v>
      </c>
      <c r="C13" s="3" t="s">
        <v>118</v>
      </c>
      <c r="D13" s="3" t="s">
        <v>123</v>
      </c>
      <c r="E13" s="33" t="s">
        <v>189</v>
      </c>
      <c r="F13" s="33"/>
      <c r="G13" s="33"/>
      <c r="H13" s="56"/>
      <c r="I13" s="95"/>
      <c r="K13" s="60" t="s">
        <v>146</v>
      </c>
      <c r="L13" s="60" t="s">
        <v>147</v>
      </c>
      <c r="M13" s="61" t="s">
        <v>188</v>
      </c>
      <c r="N13" s="61" t="s">
        <v>190</v>
      </c>
      <c r="O13" s="43">
        <v>3</v>
      </c>
      <c r="Q13" s="28" t="s">
        <v>191</v>
      </c>
      <c r="R13" s="28" t="s">
        <v>192</v>
      </c>
      <c r="S13" s="63"/>
      <c r="T13" s="63"/>
      <c r="U13" s="97">
        <v>4</v>
      </c>
    </row>
    <row r="14" spans="1:21" ht="18" customHeight="1" x14ac:dyDescent="0.15">
      <c r="A14" s="44">
        <v>4.0999999999999996</v>
      </c>
      <c r="B14" s="3" t="s">
        <v>119</v>
      </c>
      <c r="C14" s="3" t="s">
        <v>120</v>
      </c>
      <c r="D14" s="1"/>
      <c r="E14" s="66" t="s">
        <v>149</v>
      </c>
      <c r="F14" s="58"/>
      <c r="G14" s="61"/>
      <c r="H14" s="59"/>
      <c r="I14" s="96">
        <v>3</v>
      </c>
      <c r="K14" s="62"/>
      <c r="L14" s="62"/>
      <c r="M14" s="28" t="s">
        <v>148</v>
      </c>
      <c r="N14" s="63"/>
      <c r="O14" s="101">
        <v>4</v>
      </c>
      <c r="Q14" s="67" t="s">
        <v>152</v>
      </c>
      <c r="R14" s="63"/>
      <c r="S14" s="63"/>
      <c r="T14" s="63"/>
      <c r="U14" s="97"/>
    </row>
    <row r="15" spans="1:21" ht="18" customHeight="1" x14ac:dyDescent="0.15">
      <c r="A15" s="44">
        <v>4.2</v>
      </c>
      <c r="B15" s="3" t="s">
        <v>121</v>
      </c>
      <c r="C15" s="3"/>
      <c r="D15" s="1"/>
      <c r="E15" s="58" t="s">
        <v>150</v>
      </c>
      <c r="F15" s="59"/>
      <c r="G15" s="59"/>
      <c r="H15" s="59"/>
      <c r="I15" s="96"/>
      <c r="K15" s="62"/>
      <c r="L15" s="63"/>
      <c r="M15" s="28" t="s">
        <v>151</v>
      </c>
      <c r="N15" s="63"/>
      <c r="O15" s="102"/>
      <c r="Q15" s="68" t="s">
        <v>152</v>
      </c>
      <c r="R15" s="64"/>
      <c r="S15" s="64"/>
      <c r="T15" s="64"/>
      <c r="U15" s="44">
        <v>5</v>
      </c>
    </row>
    <row r="18" spans="2:8" ht="18" customHeight="1" x14ac:dyDescent="0.15">
      <c r="C18" s="100" t="s">
        <v>99</v>
      </c>
      <c r="D18" s="100"/>
    </row>
    <row r="19" spans="2:8" ht="18" customHeight="1" x14ac:dyDescent="0.15">
      <c r="B19" s="3" t="s">
        <v>100</v>
      </c>
      <c r="C19" s="3" t="s">
        <v>97</v>
      </c>
      <c r="D19" s="3" t="s">
        <v>98</v>
      </c>
    </row>
    <row r="20" spans="2:8" ht="18" customHeight="1" x14ac:dyDescent="0.15">
      <c r="B20" s="3" t="s">
        <v>124</v>
      </c>
      <c r="C20" s="3">
        <v>1.2</v>
      </c>
      <c r="D20" s="3">
        <v>1.1000000000000001</v>
      </c>
      <c r="E20" s="7" t="s">
        <v>200</v>
      </c>
      <c r="F20" s="7" t="s">
        <v>201</v>
      </c>
      <c r="G20" s="7" t="s">
        <v>202</v>
      </c>
      <c r="H20" s="7" t="s">
        <v>203</v>
      </c>
    </row>
    <row r="21" spans="2:8" ht="18" customHeight="1" x14ac:dyDescent="0.15">
      <c r="B21" s="3" t="s">
        <v>125</v>
      </c>
      <c r="C21" s="1">
        <v>2.1</v>
      </c>
      <c r="D21" s="1">
        <v>1.4</v>
      </c>
      <c r="E21" s="7" t="s">
        <v>204</v>
      </c>
      <c r="F21" s="7" t="s">
        <v>205</v>
      </c>
      <c r="G21" s="7" t="s">
        <v>206</v>
      </c>
      <c r="H21" s="7" t="s">
        <v>207</v>
      </c>
    </row>
    <row r="22" spans="2:8" ht="18" customHeight="1" x14ac:dyDescent="0.15">
      <c r="B22" s="3" t="s">
        <v>126</v>
      </c>
      <c r="C22" s="1">
        <v>3.1</v>
      </c>
      <c r="D22" s="1">
        <v>2.2999999999999998</v>
      </c>
      <c r="E22" s="7" t="s">
        <v>208</v>
      </c>
      <c r="F22" s="7" t="s">
        <v>209</v>
      </c>
    </row>
    <row r="23" spans="2:8" ht="18" customHeight="1" x14ac:dyDescent="0.15">
      <c r="B23" s="3" t="s">
        <v>127</v>
      </c>
      <c r="C23" s="1">
        <v>4.0999999999999996</v>
      </c>
      <c r="D23" s="1">
        <v>3.3</v>
      </c>
      <c r="E23" s="7" t="s">
        <v>152</v>
      </c>
      <c r="F23" s="7" t="s">
        <v>152</v>
      </c>
    </row>
    <row r="24" spans="2:8" ht="18" customHeight="1" x14ac:dyDescent="0.15">
      <c r="B24" s="3" t="s">
        <v>128</v>
      </c>
      <c r="C24" s="1">
        <v>4.2</v>
      </c>
      <c r="D24" s="3" t="s">
        <v>129</v>
      </c>
      <c r="E24" s="7" t="s">
        <v>152</v>
      </c>
      <c r="F24" s="7" t="s">
        <v>152</v>
      </c>
    </row>
    <row r="27" spans="2:8" ht="18" customHeight="1" x14ac:dyDescent="0.15">
      <c r="B27" s="5" t="s">
        <v>210</v>
      </c>
    </row>
    <row r="28" spans="2:8" ht="18" customHeight="1" x14ac:dyDescent="0.15">
      <c r="B28" s="5" t="s">
        <v>211</v>
      </c>
      <c r="C28" s="5" t="s">
        <v>212</v>
      </c>
      <c r="D28" s="7" t="s">
        <v>213</v>
      </c>
    </row>
    <row r="29" spans="2:8" ht="18" customHeight="1" x14ac:dyDescent="0.15">
      <c r="B29" s="5">
        <v>0</v>
      </c>
      <c r="C29" s="5">
        <v>10</v>
      </c>
      <c r="D29" s="5">
        <v>0</v>
      </c>
      <c r="E29" s="5">
        <v>0.1</v>
      </c>
      <c r="F29" s="5">
        <v>1.1000000000000001</v>
      </c>
    </row>
    <row r="30" spans="2:8" ht="18" customHeight="1" x14ac:dyDescent="0.15">
      <c r="B30" s="5">
        <v>1</v>
      </c>
      <c r="C30" s="5">
        <v>20</v>
      </c>
      <c r="D30" s="5">
        <v>10</v>
      </c>
      <c r="E30" s="5">
        <v>1.2</v>
      </c>
      <c r="F30" s="5">
        <v>1.3</v>
      </c>
    </row>
    <row r="31" spans="2:8" ht="18" customHeight="1" x14ac:dyDescent="0.15">
      <c r="B31" s="5">
        <v>2</v>
      </c>
      <c r="C31" s="5">
        <v>40</v>
      </c>
      <c r="D31" s="5">
        <v>20</v>
      </c>
      <c r="E31" s="5">
        <v>1.4</v>
      </c>
      <c r="F31" s="5">
        <v>2.1</v>
      </c>
    </row>
    <row r="32" spans="2:8" ht="18" customHeight="1" x14ac:dyDescent="0.15">
      <c r="B32" s="5">
        <v>3</v>
      </c>
      <c r="C32" s="5">
        <v>80</v>
      </c>
      <c r="D32" s="5">
        <v>30</v>
      </c>
      <c r="E32" s="5">
        <v>2.2000000000000002</v>
      </c>
      <c r="F32" s="5">
        <v>2.2999999999999998</v>
      </c>
      <c r="G32" s="5">
        <v>3.1</v>
      </c>
    </row>
    <row r="33" spans="2:6" ht="18" customHeight="1" x14ac:dyDescent="0.15">
      <c r="B33" s="5">
        <v>4</v>
      </c>
      <c r="C33" s="5">
        <v>160</v>
      </c>
      <c r="D33" s="5">
        <v>40</v>
      </c>
      <c r="E33" s="70">
        <v>3.2</v>
      </c>
      <c r="F33" s="70">
        <v>3.3</v>
      </c>
    </row>
    <row r="34" spans="2:6" ht="18" customHeight="1" x14ac:dyDescent="0.15">
      <c r="B34" s="5">
        <v>5</v>
      </c>
      <c r="C34" s="5">
        <v>320</v>
      </c>
      <c r="D34" s="5">
        <v>50</v>
      </c>
      <c r="E34" s="70">
        <v>4.0999999999999996</v>
      </c>
      <c r="F34" s="70">
        <v>4.2</v>
      </c>
    </row>
    <row r="35" spans="2:6" ht="18" customHeight="1" x14ac:dyDescent="0.15">
      <c r="B35" s="5">
        <v>6</v>
      </c>
      <c r="C35" s="5">
        <v>640</v>
      </c>
      <c r="D35" s="5">
        <v>55</v>
      </c>
      <c r="E35" s="70" t="s">
        <v>152</v>
      </c>
      <c r="F35" s="70"/>
    </row>
  </sheetData>
  <mergeCells count="28">
    <mergeCell ref="C18:D18"/>
    <mergeCell ref="O14:O15"/>
    <mergeCell ref="I5:I8"/>
    <mergeCell ref="I9:I10"/>
    <mergeCell ref="I11:I13"/>
    <mergeCell ref="I14:I15"/>
    <mergeCell ref="O8:O9"/>
    <mergeCell ref="O10:O12"/>
    <mergeCell ref="U7:U8"/>
    <mergeCell ref="U9:U10"/>
    <mergeCell ref="U11:U12"/>
    <mergeCell ref="U13:U14"/>
    <mergeCell ref="U3:U6"/>
    <mergeCell ref="E1:H1"/>
    <mergeCell ref="K1:N1"/>
    <mergeCell ref="Q1:T1"/>
    <mergeCell ref="B2:D2"/>
    <mergeCell ref="E3:H4"/>
    <mergeCell ref="Q3:T6"/>
    <mergeCell ref="O4:O7"/>
    <mergeCell ref="K3:N3"/>
    <mergeCell ref="I3:I4"/>
    <mergeCell ref="M2:N2"/>
    <mergeCell ref="Q2:R2"/>
    <mergeCell ref="S2:T2"/>
    <mergeCell ref="E2:F2"/>
    <mergeCell ref="G2:H2"/>
    <mergeCell ref="K2:L2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workbookViewId="0">
      <selection activeCell="E4" sqref="E4"/>
    </sheetView>
  </sheetViews>
  <sheetFormatPr defaultColWidth="9" defaultRowHeight="13.5" x14ac:dyDescent="0.15"/>
  <cols>
    <col min="5" max="5" width="10.875" customWidth="1"/>
  </cols>
  <sheetData>
    <row r="1" spans="1:23" x14ac:dyDescent="0.15">
      <c r="A1" s="110" t="s">
        <v>0</v>
      </c>
      <c r="B1" s="110"/>
      <c r="C1" s="110"/>
      <c r="D1" s="110"/>
      <c r="E1" s="110"/>
      <c r="G1" s="110" t="s">
        <v>42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</row>
    <row r="2" spans="1:23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6" t="s">
        <v>41</v>
      </c>
    </row>
    <row r="3" spans="1:23" x14ac:dyDescent="0.15">
      <c r="A3" s="1">
        <v>1</v>
      </c>
      <c r="B3" s="1">
        <v>0</v>
      </c>
      <c r="C3" s="1">
        <v>0</v>
      </c>
      <c r="D3" s="1">
        <v>0</v>
      </c>
      <c r="E3" s="9">
        <f>A3+B3+(C3/2)+D3</f>
        <v>1</v>
      </c>
      <c r="I3">
        <v>0.5</v>
      </c>
    </row>
    <row r="5" spans="1:23" x14ac:dyDescent="0.15">
      <c r="A5" s="1" t="s">
        <v>6</v>
      </c>
      <c r="B5" s="1" t="s">
        <v>7</v>
      </c>
      <c r="C5" s="1" t="s">
        <v>8</v>
      </c>
    </row>
    <row r="6" spans="1:23" x14ac:dyDescent="0.15">
      <c r="A6" s="1">
        <v>0</v>
      </c>
      <c r="B6" s="2">
        <v>0.05</v>
      </c>
      <c r="C6" s="2">
        <v>1.5</v>
      </c>
    </row>
    <row r="8" spans="1:23" x14ac:dyDescent="0.15">
      <c r="A8" s="104" t="s">
        <v>9</v>
      </c>
      <c r="B8" s="105"/>
      <c r="C8" s="105"/>
      <c r="D8" s="105"/>
      <c r="E8" s="105"/>
      <c r="F8" s="106"/>
      <c r="G8" s="4"/>
      <c r="I8" s="104" t="s">
        <v>10</v>
      </c>
      <c r="J8" s="105"/>
      <c r="K8" s="105"/>
      <c r="L8" s="105"/>
      <c r="M8" s="105"/>
      <c r="N8" s="106"/>
      <c r="O8" s="1"/>
      <c r="Q8" s="104" t="s">
        <v>11</v>
      </c>
      <c r="R8" s="105"/>
      <c r="S8" s="105"/>
      <c r="T8" s="105"/>
      <c r="U8" s="105"/>
      <c r="V8" s="106"/>
    </row>
    <row r="9" spans="1:23" x14ac:dyDescent="0.1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35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35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17</v>
      </c>
    </row>
    <row r="10" spans="1:23" x14ac:dyDescent="0.15">
      <c r="A10" s="1" t="s">
        <v>18</v>
      </c>
      <c r="B10" s="1">
        <v>1</v>
      </c>
      <c r="C10" s="1">
        <v>0.44</v>
      </c>
      <c r="D10" s="1">
        <f>MAX($I$3,($E$3*C10-$A$6)+(($E$3*C10*$C$6-$A$6)-($E$3*C10-$A$6))*$B$6)</f>
        <v>0.5</v>
      </c>
      <c r="E10" s="9">
        <f t="shared" ref="E10:E15" si="0">D10*B10</f>
        <v>0.5</v>
      </c>
      <c r="F10" s="107">
        <f>D10+D11+D12+D13</f>
        <v>2</v>
      </c>
      <c r="G10" s="100">
        <v>1.5</v>
      </c>
      <c r="I10" s="1" t="s">
        <v>18</v>
      </c>
      <c r="J10" s="1">
        <v>1</v>
      </c>
      <c r="K10" s="1">
        <v>0.44</v>
      </c>
      <c r="L10" s="1">
        <f t="shared" ref="L10:L16" si="1">MAX($I$3,($E$3*K10-$A$6)+(($E$3*K10*$C$6-$A$6)-($E$3*K10-$A$6))*$B$6*J10)</f>
        <v>0.5</v>
      </c>
      <c r="M10" s="9">
        <f t="shared" ref="M10:M16" si="2">L10*J10</f>
        <v>0.5</v>
      </c>
      <c r="N10" s="107">
        <f>L10+L11+L12+L13+L14+L15+L16</f>
        <v>3.5</v>
      </c>
      <c r="O10" s="100">
        <v>4</v>
      </c>
      <c r="Q10" s="1" t="s">
        <v>18</v>
      </c>
      <c r="R10" s="1">
        <v>1</v>
      </c>
      <c r="S10" s="1">
        <v>0.44</v>
      </c>
      <c r="T10" s="1">
        <f>MAX($I$3,($E$3*S10-$A$6)+(($E$3*S10*$C$6-$A$6)-($E$3*S10-$A$6))*$B$6*R10)</f>
        <v>0.5</v>
      </c>
      <c r="U10" s="1">
        <f>T10*R10</f>
        <v>0.5</v>
      </c>
      <c r="V10" s="111">
        <f>T10+T11+T12</f>
        <v>1.84</v>
      </c>
    </row>
    <row r="11" spans="1:23" x14ac:dyDescent="0.15">
      <c r="A11" s="1" t="s">
        <v>19</v>
      </c>
      <c r="B11" s="1">
        <v>1</v>
      </c>
      <c r="C11" s="1">
        <v>0.44</v>
      </c>
      <c r="D11" s="1">
        <f>MAX($I$3,($E$3*C11-$A$6)+(($E$3*C11*$C$6-$A$6)-($E$3*C11-$A$6))*$B$6*B11)</f>
        <v>0.5</v>
      </c>
      <c r="E11" s="9">
        <f t="shared" si="0"/>
        <v>0.5</v>
      </c>
      <c r="F11" s="108"/>
      <c r="G11" s="100"/>
      <c r="I11" s="1" t="s">
        <v>19</v>
      </c>
      <c r="J11" s="1">
        <v>1</v>
      </c>
      <c r="K11" s="1">
        <v>0.44</v>
      </c>
      <c r="L11" s="1">
        <f t="shared" si="1"/>
        <v>0.5</v>
      </c>
      <c r="M11" s="9">
        <f t="shared" si="2"/>
        <v>0.5</v>
      </c>
      <c r="N11" s="108"/>
      <c r="O11" s="100"/>
      <c r="Q11" s="1" t="s">
        <v>19</v>
      </c>
      <c r="R11" s="1">
        <v>1</v>
      </c>
      <c r="S11" s="1">
        <v>0.44</v>
      </c>
      <c r="T11" s="1">
        <f>MAX($I$3,($E$3*S11-$A$6)+(($E$3*S11*$C$6-$A$6)-($E$3*S11-$A$6))*$B$6*R11)</f>
        <v>0.5</v>
      </c>
      <c r="U11" s="1">
        <f>T11*R11</f>
        <v>0.5</v>
      </c>
      <c r="V11" s="112"/>
    </row>
    <row r="12" spans="1:23" x14ac:dyDescent="0.15">
      <c r="A12" s="1" t="s">
        <v>20</v>
      </c>
      <c r="B12" s="1">
        <v>2</v>
      </c>
      <c r="C12" s="1">
        <v>0.44</v>
      </c>
      <c r="D12" s="1">
        <f>MAX($I$3,($E$3*C12-$A$6)+(($E$3*C12*$C$6-$A$6)-($E$3*C12-$A$6))*$B$6*B12)</f>
        <v>0.5</v>
      </c>
      <c r="E12" s="9">
        <f t="shared" si="0"/>
        <v>1</v>
      </c>
      <c r="F12" s="108"/>
      <c r="G12" s="100"/>
      <c r="I12" s="1" t="s">
        <v>20</v>
      </c>
      <c r="J12" s="1">
        <v>2</v>
      </c>
      <c r="K12" s="1">
        <v>0.44</v>
      </c>
      <c r="L12" s="1">
        <f t="shared" si="1"/>
        <v>0.5</v>
      </c>
      <c r="M12" s="9">
        <f t="shared" si="2"/>
        <v>1</v>
      </c>
      <c r="N12" s="108"/>
      <c r="O12" s="100"/>
      <c r="Q12" s="1" t="s">
        <v>21</v>
      </c>
      <c r="R12" s="1">
        <v>2</v>
      </c>
      <c r="S12" s="1">
        <v>0.8</v>
      </c>
      <c r="T12" s="1">
        <f>MAX($I$3,($E$3*S12-$A$6)+(($E$3*S12*$C$6-$A$6)-($E$3*S12-$A$6))*$B$6*R12)</f>
        <v>0.84000000000000008</v>
      </c>
      <c r="U12" s="1">
        <f>T12*R12</f>
        <v>1.6800000000000002</v>
      </c>
      <c r="V12" s="113"/>
    </row>
    <row r="13" spans="1:23" x14ac:dyDescent="0.15">
      <c r="A13" s="1" t="s">
        <v>22</v>
      </c>
      <c r="B13" s="1">
        <v>2</v>
      </c>
      <c r="C13" s="1">
        <v>0.44</v>
      </c>
      <c r="D13" s="1">
        <f>MAX($I$3,($E$3*C13-$A$6)+(($E$3*C13*$C$6-$A$6)-($E$3*C13-$A$6))*$B$6*B13)</f>
        <v>0.5</v>
      </c>
      <c r="E13" s="9">
        <f t="shared" si="0"/>
        <v>1</v>
      </c>
      <c r="F13" s="109"/>
      <c r="G13" s="100"/>
      <c r="I13" s="1" t="s">
        <v>23</v>
      </c>
      <c r="J13" s="1">
        <v>10</v>
      </c>
      <c r="K13" s="1">
        <v>0.24399999999999999</v>
      </c>
      <c r="L13" s="1">
        <f t="shared" si="1"/>
        <v>0.5</v>
      </c>
      <c r="M13" s="9">
        <f t="shared" si="2"/>
        <v>5</v>
      </c>
      <c r="N13" s="108"/>
      <c r="O13" s="100"/>
    </row>
    <row r="14" spans="1:23" x14ac:dyDescent="0.15">
      <c r="A14" s="1" t="s">
        <v>24</v>
      </c>
      <c r="B14" s="1">
        <v>2</v>
      </c>
      <c r="C14" s="1">
        <v>0.75</v>
      </c>
      <c r="D14" s="1">
        <f>MAX($I$3,($E$3*C14-$A$6)+(($E$3*C14*$C$6-$A$6)-($E$3*C14-$A$6))*$B$6*B14)</f>
        <v>0.78749999999999998</v>
      </c>
      <c r="E14" s="9">
        <f t="shared" si="0"/>
        <v>1.575</v>
      </c>
      <c r="F14" s="107">
        <f>D10+D11+D12+D14+D15</f>
        <v>3.09375</v>
      </c>
      <c r="G14" s="100">
        <v>3</v>
      </c>
      <c r="I14" s="1" t="s">
        <v>25</v>
      </c>
      <c r="J14" s="1">
        <v>7</v>
      </c>
      <c r="K14" s="1">
        <v>0.24399999999999999</v>
      </c>
      <c r="L14" s="1">
        <f t="shared" si="1"/>
        <v>0.5</v>
      </c>
      <c r="M14" s="9">
        <f t="shared" si="2"/>
        <v>3.5</v>
      </c>
      <c r="N14" s="108"/>
      <c r="O14" s="100"/>
    </row>
    <row r="15" spans="1:23" x14ac:dyDescent="0.15">
      <c r="A15" s="1" t="s">
        <v>26</v>
      </c>
      <c r="B15" s="1">
        <v>3</v>
      </c>
      <c r="C15" s="1">
        <v>0.75</v>
      </c>
      <c r="D15" s="1">
        <f>MAX($I$3,($E$3*C15-$A$6)+(($E$3*C15*$C$6-$A$6)-($E$3*C15-$A$6))*$B$6*B15)</f>
        <v>0.80625000000000002</v>
      </c>
      <c r="E15" s="9">
        <f t="shared" si="0"/>
        <v>2.4187500000000002</v>
      </c>
      <c r="F15" s="109"/>
      <c r="G15" s="100"/>
      <c r="I15" s="1" t="s">
        <v>27</v>
      </c>
      <c r="J15" s="1">
        <v>10</v>
      </c>
      <c r="K15" s="1">
        <v>0.24399999999999999</v>
      </c>
      <c r="L15" s="1">
        <f t="shared" si="1"/>
        <v>0.5</v>
      </c>
      <c r="M15" s="9">
        <f t="shared" si="2"/>
        <v>5</v>
      </c>
      <c r="N15" s="108"/>
      <c r="O15" s="100"/>
    </row>
    <row r="16" spans="1:23" x14ac:dyDescent="0.15">
      <c r="D16" s="6" t="s">
        <v>37</v>
      </c>
      <c r="E16" s="10">
        <f>SUM(E10:E13)</f>
        <v>3</v>
      </c>
      <c r="F16" s="11">
        <f>E16/G10</f>
        <v>2</v>
      </c>
      <c r="I16" s="3" t="s">
        <v>28</v>
      </c>
      <c r="J16" s="1">
        <v>2</v>
      </c>
      <c r="K16" s="1">
        <v>0.24399999999999999</v>
      </c>
      <c r="L16" s="1">
        <f t="shared" si="1"/>
        <v>0.5</v>
      </c>
      <c r="M16" s="9">
        <f t="shared" si="2"/>
        <v>1</v>
      </c>
      <c r="N16" s="109"/>
      <c r="O16" s="100"/>
    </row>
    <row r="17" spans="1:15" x14ac:dyDescent="0.15">
      <c r="D17" s="6" t="s">
        <v>38</v>
      </c>
      <c r="E17" s="10">
        <f>SUM(E10:E15)</f>
        <v>6.9937500000000004</v>
      </c>
      <c r="F17" s="11">
        <f>E17/G14</f>
        <v>2.3312500000000003</v>
      </c>
      <c r="I17" s="7"/>
      <c r="J17" s="5"/>
      <c r="K17" s="5"/>
      <c r="L17" s="8" t="s">
        <v>39</v>
      </c>
      <c r="M17" s="10">
        <f>SUM(M10:M16)</f>
        <v>16.5</v>
      </c>
      <c r="N17" s="10">
        <f>M17/O10</f>
        <v>4.125</v>
      </c>
      <c r="O17" s="5"/>
    </row>
    <row r="18" spans="1:15" x14ac:dyDescent="0.15">
      <c r="E18" s="6" t="s">
        <v>40</v>
      </c>
      <c r="F18" s="6" t="s">
        <v>36</v>
      </c>
      <c r="M18" s="6" t="s">
        <v>40</v>
      </c>
      <c r="N18" s="6" t="s">
        <v>36</v>
      </c>
    </row>
    <row r="19" spans="1:15" x14ac:dyDescent="0.15">
      <c r="E19" s="6"/>
      <c r="F19" s="6"/>
    </row>
    <row r="20" spans="1:15" x14ac:dyDescent="0.15">
      <c r="A20" s="104" t="s">
        <v>29</v>
      </c>
      <c r="B20" s="105"/>
      <c r="C20" s="105"/>
      <c r="D20" s="105"/>
      <c r="E20" s="106"/>
      <c r="I20" s="104" t="s">
        <v>30</v>
      </c>
      <c r="J20" s="105"/>
      <c r="K20" s="105"/>
      <c r="L20" s="105"/>
      <c r="M20" s="105"/>
      <c r="N20" s="106"/>
      <c r="O20" s="5"/>
    </row>
    <row r="21" spans="1:15" x14ac:dyDescent="0.15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5"/>
    </row>
    <row r="22" spans="1:15" x14ac:dyDescent="0.15">
      <c r="A22" s="1" t="s">
        <v>31</v>
      </c>
      <c r="B22" s="1">
        <v>1</v>
      </c>
      <c r="C22" s="1">
        <v>0.5</v>
      </c>
      <c r="D22" s="1">
        <f>MAX($I$3,($E$3*C22-$A$6)+(($E$3*C22*$C$6-$A$6)-($E$3*C22-$A$6))*$B$6*B22)</f>
        <v>0.51249999999999996</v>
      </c>
      <c r="E22" s="1">
        <f>D22*B22</f>
        <v>0.51249999999999996</v>
      </c>
      <c r="I22" s="1" t="s">
        <v>18</v>
      </c>
      <c r="J22" s="1">
        <v>1</v>
      </c>
      <c r="K22" s="1">
        <v>0.28000000000000003</v>
      </c>
      <c r="L22" s="1">
        <v>0.28000000000000003</v>
      </c>
      <c r="M22" s="1">
        <f t="shared" ref="M22:M26" si="3">L22*J22</f>
        <v>0.28000000000000003</v>
      </c>
      <c r="N22" s="111">
        <f>L22+L23+L24</f>
        <v>0.84000000000000008</v>
      </c>
      <c r="O22" s="5"/>
    </row>
    <row r="23" spans="1:15" x14ac:dyDescent="0.15">
      <c r="A23" s="1" t="s">
        <v>32</v>
      </c>
      <c r="B23" s="1">
        <v>3</v>
      </c>
      <c r="C23" s="1">
        <v>0.44</v>
      </c>
      <c r="D23" s="1">
        <f>MAX($I$3,($E$3*C23-$A$6)+(($E$3*C23*$C$6-$A$6)-($E$3*C23-$A$6))*$B$6*B23)</f>
        <v>0.5</v>
      </c>
      <c r="E23" s="1">
        <f>D23*B23</f>
        <v>1.5</v>
      </c>
      <c r="I23" s="1" t="s">
        <v>19</v>
      </c>
      <c r="J23" s="1">
        <v>1</v>
      </c>
      <c r="K23" s="1">
        <v>0.28000000000000003</v>
      </c>
      <c r="L23" s="1">
        <v>0.28000000000000003</v>
      </c>
      <c r="M23" s="1">
        <f t="shared" si="3"/>
        <v>0.28000000000000003</v>
      </c>
      <c r="N23" s="112"/>
      <c r="O23" s="5"/>
    </row>
    <row r="24" spans="1:15" x14ac:dyDescent="0.15">
      <c r="A24" s="1" t="s">
        <v>33</v>
      </c>
      <c r="B24" s="1">
        <v>2</v>
      </c>
      <c r="C24" s="1">
        <v>0.6</v>
      </c>
      <c r="D24" s="1">
        <f>MAX($I$3,($E$3*C24-$A$6)+(($E$3*C24*$C$6-$A$6)-($E$3*C24-$A$6))*$B$6*B24)</f>
        <v>0.63</v>
      </c>
      <c r="E24" s="1">
        <f>D24*B24</f>
        <v>1.26</v>
      </c>
      <c r="I24" s="1" t="s">
        <v>20</v>
      </c>
      <c r="J24" s="1">
        <v>2</v>
      </c>
      <c r="K24" s="1">
        <v>0.28000000000000003</v>
      </c>
      <c r="L24" s="1">
        <v>0.28000000000000003</v>
      </c>
      <c r="M24" s="1">
        <f t="shared" si="3"/>
        <v>0.56000000000000005</v>
      </c>
      <c r="N24" s="113"/>
      <c r="O24" s="5"/>
    </row>
    <row r="25" spans="1:15" x14ac:dyDescent="0.15">
      <c r="A25" s="1" t="s">
        <v>34</v>
      </c>
      <c r="B25" s="1">
        <v>2</v>
      </c>
      <c r="C25" s="1">
        <v>0.44</v>
      </c>
      <c r="D25" s="1">
        <f>MAX($I$3,($E$3*C25-$A$6)+(($E$3*C25*$C$6-$A$6)-($E$3*C25-$A$6))*$B$6*B25)</f>
        <v>0.5</v>
      </c>
      <c r="E25" s="1">
        <f>D25*B25</f>
        <v>1</v>
      </c>
      <c r="I25" s="1" t="s">
        <v>23</v>
      </c>
      <c r="J25" s="1">
        <v>2</v>
      </c>
      <c r="K25" s="1">
        <v>0.34</v>
      </c>
      <c r="L25" s="1">
        <v>0.34</v>
      </c>
      <c r="M25" s="1">
        <f t="shared" si="3"/>
        <v>0.68</v>
      </c>
      <c r="N25" s="111">
        <f>L22+L23+L25+L26</f>
        <v>1.2400000000000002</v>
      </c>
      <c r="O25" s="5"/>
    </row>
    <row r="26" spans="1:15" x14ac:dyDescent="0.15">
      <c r="I26" s="1" t="s">
        <v>25</v>
      </c>
      <c r="J26" s="1">
        <v>2</v>
      </c>
      <c r="K26" s="1">
        <v>0.34</v>
      </c>
      <c r="L26" s="1">
        <v>0.34</v>
      </c>
      <c r="M26" s="1">
        <f t="shared" si="3"/>
        <v>0.68</v>
      </c>
      <c r="N26" s="113"/>
      <c r="O26" s="5"/>
    </row>
    <row r="28" spans="1:15" x14ac:dyDescent="0.15">
      <c r="A28" s="5" t="s">
        <v>45</v>
      </c>
    </row>
    <row r="29" spans="1:15" x14ac:dyDescent="0.15">
      <c r="A29">
        <v>0.25</v>
      </c>
    </row>
    <row r="30" spans="1:15" x14ac:dyDescent="0.15">
      <c r="A30" s="114" t="s">
        <v>43</v>
      </c>
      <c r="B30" s="105"/>
      <c r="C30" s="105"/>
      <c r="D30" s="105"/>
      <c r="E30" s="105"/>
      <c r="F30" s="106"/>
      <c r="G30" s="4"/>
      <c r="I30" s="114" t="s">
        <v>44</v>
      </c>
      <c r="J30" s="105"/>
      <c r="K30" s="105"/>
      <c r="L30" s="105"/>
      <c r="M30" s="105"/>
      <c r="N30" s="106"/>
      <c r="O30" s="1"/>
    </row>
    <row r="31" spans="1:15" x14ac:dyDescent="0.15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35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35</v>
      </c>
    </row>
    <row r="32" spans="1:15" x14ac:dyDescent="0.15">
      <c r="A32" s="1" t="s">
        <v>18</v>
      </c>
      <c r="B32" s="1">
        <v>1</v>
      </c>
      <c r="C32" s="1">
        <v>0.69</v>
      </c>
      <c r="D32" s="1">
        <f>MAX($I$3,($E$3*C32-$A$6)+(($E$3*C32*$C$6-$A$6)-($E$3*C32-$A$6))*$B$6)</f>
        <v>0.70724999999999993</v>
      </c>
      <c r="E32" s="9">
        <f t="shared" ref="E32:E37" si="4">D32*B32</f>
        <v>0.70724999999999993</v>
      </c>
      <c r="F32" s="107">
        <f>D32+D33+D34+D35</f>
        <v>2.8634999999999997</v>
      </c>
      <c r="G32" s="100">
        <v>1.5</v>
      </c>
      <c r="I32" s="1" t="s">
        <v>18</v>
      </c>
      <c r="J32" s="1">
        <v>1</v>
      </c>
      <c r="K32" s="1">
        <v>0.69</v>
      </c>
      <c r="L32" s="1">
        <f t="shared" ref="L32:L38" si="5">MAX($I$3,($E$3*K32-$A$6)+(($E$3*K32*$C$6-$A$6)-($E$3*K32-$A$6))*$B$6*J32)</f>
        <v>0.70724999999999993</v>
      </c>
      <c r="M32" s="9">
        <f t="shared" ref="M32:M38" si="6">L32*J32</f>
        <v>0.70724999999999993</v>
      </c>
      <c r="N32" s="107">
        <f>L32+L33+L34+L35+L36+L37+L38</f>
        <v>4.4731499999999995</v>
      </c>
      <c r="O32" s="100">
        <v>4</v>
      </c>
    </row>
    <row r="33" spans="1:15" x14ac:dyDescent="0.15">
      <c r="A33" s="1" t="s">
        <v>19</v>
      </c>
      <c r="B33" s="1">
        <v>1</v>
      </c>
      <c r="C33" s="1">
        <v>0.69</v>
      </c>
      <c r="D33" s="1">
        <f>MAX($I$3,($E$3*C33-$A$6)+(($E$3*C33*$C$6-$A$6)-($E$3*C33-$A$6))*$B$6*B33)</f>
        <v>0.70724999999999993</v>
      </c>
      <c r="E33" s="9">
        <f t="shared" si="4"/>
        <v>0.70724999999999993</v>
      </c>
      <c r="F33" s="108"/>
      <c r="G33" s="100"/>
      <c r="I33" s="1" t="s">
        <v>19</v>
      </c>
      <c r="J33" s="1">
        <v>1</v>
      </c>
      <c r="K33" s="1">
        <v>0.69</v>
      </c>
      <c r="L33" s="1">
        <f t="shared" si="5"/>
        <v>0.70724999999999993</v>
      </c>
      <c r="M33" s="9">
        <f t="shared" si="6"/>
        <v>0.70724999999999993</v>
      </c>
      <c r="N33" s="108"/>
      <c r="O33" s="100"/>
    </row>
    <row r="34" spans="1:15" x14ac:dyDescent="0.15">
      <c r="A34" s="1" t="s">
        <v>20</v>
      </c>
      <c r="B34" s="1">
        <v>2</v>
      </c>
      <c r="C34" s="1">
        <v>0.69</v>
      </c>
      <c r="D34" s="1">
        <f>MAX($I$3,($E$3*C34-$A$6)+(($E$3*C34*$C$6-$A$6)-($E$3*C34-$A$6))*$B$6*B34)</f>
        <v>0.72449999999999992</v>
      </c>
      <c r="E34" s="9">
        <f t="shared" si="4"/>
        <v>1.4489999999999998</v>
      </c>
      <c r="F34" s="108"/>
      <c r="G34" s="100"/>
      <c r="I34" s="1" t="s">
        <v>20</v>
      </c>
      <c r="J34" s="1">
        <v>2</v>
      </c>
      <c r="K34" s="1">
        <v>0.69</v>
      </c>
      <c r="L34" s="1">
        <f t="shared" si="5"/>
        <v>0.72449999999999992</v>
      </c>
      <c r="M34" s="9">
        <f t="shared" si="6"/>
        <v>1.4489999999999998</v>
      </c>
      <c r="N34" s="108"/>
      <c r="O34" s="100"/>
    </row>
    <row r="35" spans="1:15" x14ac:dyDescent="0.15">
      <c r="A35" s="1" t="s">
        <v>22</v>
      </c>
      <c r="B35" s="1">
        <v>2</v>
      </c>
      <c r="C35" s="1">
        <v>0.69</v>
      </c>
      <c r="D35" s="1">
        <f>MAX($I$3,($E$3*C35-$A$6)+(($E$3*C35*$C$6-$A$6)-($E$3*C35-$A$6))*$B$6*B35)</f>
        <v>0.72449999999999992</v>
      </c>
      <c r="E35" s="9">
        <f t="shared" si="4"/>
        <v>1.4489999999999998</v>
      </c>
      <c r="F35" s="109"/>
      <c r="G35" s="100"/>
      <c r="I35" s="1" t="s">
        <v>23</v>
      </c>
      <c r="J35" s="1">
        <v>10</v>
      </c>
      <c r="K35" s="1">
        <v>0.49399999999999999</v>
      </c>
      <c r="L35" s="1">
        <f t="shared" si="5"/>
        <v>0.61749999999999994</v>
      </c>
      <c r="M35" s="9">
        <f t="shared" si="6"/>
        <v>6.1749999999999989</v>
      </c>
      <c r="N35" s="108"/>
      <c r="O35" s="100"/>
    </row>
    <row r="36" spans="1:15" x14ac:dyDescent="0.15">
      <c r="A36" s="1" t="s">
        <v>24</v>
      </c>
      <c r="B36" s="1">
        <v>2</v>
      </c>
      <c r="C36" s="1">
        <v>1</v>
      </c>
      <c r="D36" s="1">
        <f>MAX($I$3,($E$3*C36-$A$6)+(($E$3*C36*$C$6-$A$6)-($E$3*C36-$A$6))*$B$6*B36)</f>
        <v>1.05</v>
      </c>
      <c r="E36" s="9">
        <f t="shared" si="4"/>
        <v>2.1</v>
      </c>
      <c r="F36" s="107">
        <f>D32+D33+D34+D36+D37</f>
        <v>4.2640000000000002</v>
      </c>
      <c r="G36" s="100">
        <v>3</v>
      </c>
      <c r="I36" s="1" t="s">
        <v>25</v>
      </c>
      <c r="J36" s="1">
        <v>7</v>
      </c>
      <c r="K36" s="1">
        <v>0.49399999999999999</v>
      </c>
      <c r="L36" s="1">
        <f t="shared" si="5"/>
        <v>0.58045000000000002</v>
      </c>
      <c r="M36" s="9">
        <f t="shared" si="6"/>
        <v>4.0631500000000003</v>
      </c>
      <c r="N36" s="108"/>
      <c r="O36" s="100"/>
    </row>
    <row r="37" spans="1:15" x14ac:dyDescent="0.15">
      <c r="A37" s="1" t="s">
        <v>26</v>
      </c>
      <c r="B37" s="1">
        <v>3</v>
      </c>
      <c r="C37" s="1">
        <v>1</v>
      </c>
      <c r="D37" s="1">
        <f>MAX($I$3,($E$3*C37-$A$6)+(($E$3*C37*$C$6-$A$6)-($E$3*C37-$A$6))*$B$6*B37)</f>
        <v>1.075</v>
      </c>
      <c r="E37" s="9">
        <f t="shared" si="4"/>
        <v>3.2249999999999996</v>
      </c>
      <c r="F37" s="109"/>
      <c r="G37" s="100"/>
      <c r="I37" s="1" t="s">
        <v>27</v>
      </c>
      <c r="J37" s="1">
        <v>10</v>
      </c>
      <c r="K37" s="1">
        <v>0.49399999999999999</v>
      </c>
      <c r="L37" s="1">
        <f t="shared" si="5"/>
        <v>0.61749999999999994</v>
      </c>
      <c r="M37" s="9">
        <f t="shared" si="6"/>
        <v>6.1749999999999989</v>
      </c>
      <c r="N37" s="108"/>
      <c r="O37" s="100"/>
    </row>
    <row r="38" spans="1:15" x14ac:dyDescent="0.15">
      <c r="D38" s="6" t="s">
        <v>37</v>
      </c>
      <c r="E38" s="10">
        <f>SUM(E32:E35)</f>
        <v>4.3125</v>
      </c>
      <c r="F38" s="11">
        <f>E38/G32</f>
        <v>2.875</v>
      </c>
      <c r="I38" s="3" t="s">
        <v>28</v>
      </c>
      <c r="J38" s="1">
        <v>2</v>
      </c>
      <c r="K38" s="1">
        <v>0.49399999999999999</v>
      </c>
      <c r="L38" s="1">
        <f t="shared" si="5"/>
        <v>0.51869999999999994</v>
      </c>
      <c r="M38" s="9">
        <f t="shared" si="6"/>
        <v>1.0373999999999999</v>
      </c>
      <c r="N38" s="109"/>
      <c r="O38" s="100"/>
    </row>
    <row r="39" spans="1:15" x14ac:dyDescent="0.15">
      <c r="D39" s="6" t="s">
        <v>38</v>
      </c>
      <c r="E39" s="10">
        <f>SUM(E32:E37)</f>
        <v>9.6374999999999993</v>
      </c>
      <c r="F39" s="11">
        <f>E39/G36</f>
        <v>3.2124999999999999</v>
      </c>
      <c r="I39" s="7"/>
      <c r="J39" s="5"/>
      <c r="K39" s="5"/>
      <c r="L39" s="8" t="s">
        <v>39</v>
      </c>
      <c r="M39" s="10">
        <f>SUM(M32:M38)</f>
        <v>20.314049999999995</v>
      </c>
      <c r="N39" s="10">
        <f>M39/O32</f>
        <v>5.0785124999999987</v>
      </c>
      <c r="O39" s="5"/>
    </row>
    <row r="40" spans="1:15" x14ac:dyDescent="0.15">
      <c r="E40" s="6" t="s">
        <v>40</v>
      </c>
      <c r="F40" s="6" t="s">
        <v>36</v>
      </c>
      <c r="M40" s="6" t="s">
        <v>40</v>
      </c>
      <c r="N40" s="6" t="s">
        <v>36</v>
      </c>
    </row>
    <row r="43" spans="1:15" x14ac:dyDescent="0.15">
      <c r="A43" s="104" t="s">
        <v>29</v>
      </c>
      <c r="B43" s="105"/>
      <c r="C43" s="105"/>
      <c r="D43" s="105"/>
      <c r="E43" s="106"/>
      <c r="I43" s="104" t="s">
        <v>30</v>
      </c>
      <c r="J43" s="105"/>
      <c r="K43" s="105"/>
      <c r="L43" s="105"/>
      <c r="M43" s="105"/>
      <c r="N43" s="106"/>
    </row>
    <row r="44" spans="1:15" x14ac:dyDescent="0.15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</row>
    <row r="45" spans="1:15" x14ac:dyDescent="0.15">
      <c r="A45" s="1" t="s">
        <v>31</v>
      </c>
      <c r="B45" s="1">
        <v>1</v>
      </c>
      <c r="C45" s="1">
        <v>0.75</v>
      </c>
      <c r="D45" s="1">
        <f>MAX($I$3,($E$3*C45-$A$6)+(($E$3*C45*$C$6-$A$6)-($E$3*C45-$A$6))*$B$6*B45)</f>
        <v>0.76875000000000004</v>
      </c>
      <c r="E45" s="1">
        <f>D45*B45</f>
        <v>0.76875000000000004</v>
      </c>
      <c r="I45" s="1" t="s">
        <v>18</v>
      </c>
      <c r="J45" s="1">
        <v>1</v>
      </c>
      <c r="K45" s="1">
        <v>0.53</v>
      </c>
      <c r="L45" s="1">
        <v>0.28000000000000003</v>
      </c>
      <c r="M45" s="1">
        <f t="shared" ref="M45:M49" si="7">L45*J45</f>
        <v>0.28000000000000003</v>
      </c>
      <c r="N45" s="111">
        <f>L45+L46+L47</f>
        <v>0.84000000000000008</v>
      </c>
    </row>
    <row r="46" spans="1:15" x14ac:dyDescent="0.15">
      <c r="A46" s="1" t="s">
        <v>32</v>
      </c>
      <c r="B46" s="1">
        <v>3</v>
      </c>
      <c r="C46" s="1">
        <v>0.69</v>
      </c>
      <c r="D46" s="1">
        <f>MAX($I$3,($E$3*C46-$A$6)+(($E$3*C46*$C$6-$A$6)-($E$3*C46-$A$6))*$B$6*B46)</f>
        <v>0.74174999999999991</v>
      </c>
      <c r="E46" s="1">
        <f>D46*B46</f>
        <v>2.22525</v>
      </c>
      <c r="I46" s="1" t="s">
        <v>19</v>
      </c>
      <c r="J46" s="1">
        <v>1</v>
      </c>
      <c r="K46" s="1">
        <v>0.53</v>
      </c>
      <c r="L46" s="1">
        <v>0.28000000000000003</v>
      </c>
      <c r="M46" s="1">
        <f t="shared" si="7"/>
        <v>0.28000000000000003</v>
      </c>
      <c r="N46" s="112"/>
    </row>
    <row r="47" spans="1:15" x14ac:dyDescent="0.15">
      <c r="A47" s="1" t="s">
        <v>33</v>
      </c>
      <c r="B47" s="1">
        <v>2</v>
      </c>
      <c r="C47" s="1">
        <v>0.85</v>
      </c>
      <c r="D47" s="1">
        <f>MAX($I$3,($E$3*C47-$A$6)+(($E$3*C47*$C$6-$A$6)-($E$3*C47-$A$6))*$B$6*B47)</f>
        <v>0.89249999999999996</v>
      </c>
      <c r="E47" s="1">
        <f>D47*B47</f>
        <v>1.7849999999999999</v>
      </c>
      <c r="I47" s="1" t="s">
        <v>20</v>
      </c>
      <c r="J47" s="1">
        <v>2</v>
      </c>
      <c r="K47" s="1">
        <v>0.53</v>
      </c>
      <c r="L47" s="1">
        <v>0.28000000000000003</v>
      </c>
      <c r="M47" s="1">
        <f t="shared" si="7"/>
        <v>0.56000000000000005</v>
      </c>
      <c r="N47" s="113"/>
    </row>
    <row r="48" spans="1:15" x14ac:dyDescent="0.15">
      <c r="A48" s="1" t="s">
        <v>34</v>
      </c>
      <c r="B48" s="1">
        <v>2</v>
      </c>
      <c r="C48" s="1">
        <v>0.69</v>
      </c>
      <c r="D48" s="1">
        <f>MAX($I$3,($E$3*C48-$A$6)+(($E$3*C48*$C$6-$A$6)-($E$3*C48-$A$6))*$B$6*B48)</f>
        <v>0.72449999999999992</v>
      </c>
      <c r="E48" s="1">
        <f>D48*B48</f>
        <v>1.4489999999999998</v>
      </c>
      <c r="I48" s="1" t="s">
        <v>23</v>
      </c>
      <c r="J48" s="1">
        <v>2</v>
      </c>
      <c r="K48" s="1">
        <v>0.59</v>
      </c>
      <c r="L48" s="1">
        <v>0.34</v>
      </c>
      <c r="M48" s="1">
        <f t="shared" si="7"/>
        <v>0.68</v>
      </c>
      <c r="N48" s="111">
        <f>L45+L46+L48+L49</f>
        <v>1.2400000000000002</v>
      </c>
    </row>
    <row r="49" spans="9:14" x14ac:dyDescent="0.15">
      <c r="I49" s="1" t="s">
        <v>25</v>
      </c>
      <c r="J49" s="1">
        <v>2</v>
      </c>
      <c r="K49" s="1">
        <v>0.59</v>
      </c>
      <c r="L49" s="1">
        <v>0.34</v>
      </c>
      <c r="M49" s="1">
        <f t="shared" si="7"/>
        <v>0.68</v>
      </c>
      <c r="N49" s="113"/>
    </row>
  </sheetData>
  <mergeCells count="28">
    <mergeCell ref="A43:E43"/>
    <mergeCell ref="I43:N43"/>
    <mergeCell ref="N45:N47"/>
    <mergeCell ref="N48:N49"/>
    <mergeCell ref="O32:O38"/>
    <mergeCell ref="F36:F37"/>
    <mergeCell ref="G36:G37"/>
    <mergeCell ref="A30:F30"/>
    <mergeCell ref="I30:N30"/>
    <mergeCell ref="F32:F35"/>
    <mergeCell ref="G32:G35"/>
    <mergeCell ref="N32:N38"/>
    <mergeCell ref="N22:N24"/>
    <mergeCell ref="N25:N26"/>
    <mergeCell ref="V10:V12"/>
    <mergeCell ref="G10:G13"/>
    <mergeCell ref="G14:G15"/>
    <mergeCell ref="O10:O16"/>
    <mergeCell ref="N10:N16"/>
    <mergeCell ref="A20:E20"/>
    <mergeCell ref="I20:N20"/>
    <mergeCell ref="F10:F13"/>
    <mergeCell ref="F14:F15"/>
    <mergeCell ref="A1:E1"/>
    <mergeCell ref="G1:W1"/>
    <mergeCell ref="A8:F8"/>
    <mergeCell ref="I8:N8"/>
    <mergeCell ref="Q8:V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数值分配</vt:lpstr>
      <vt:lpstr>维度</vt:lpstr>
      <vt:lpstr>普通攻击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2026-05-04T02:06:40Z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7184A9CE2EAB4C4B9B23E42167A0B96D_12</vt:lpwstr>
  </property>
</Properties>
</file>