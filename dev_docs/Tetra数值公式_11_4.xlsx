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A3E67EF8-B0B2-4DF2-B30B-B0F6E89AF303}" xr6:coauthVersionLast="47" xr6:coauthVersionMax="47" xr10:uidLastSave="{00000000-0000-0000-0000-000000000000}"/>
  <bookViews>
    <workbookView xWindow="-110" yWindow="-110" windowWidth="25820" windowHeight="15620" activeTab="1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8" i="1" l="1"/>
  <c r="M78" i="1"/>
  <c r="N77" i="1"/>
  <c r="M77" i="1"/>
  <c r="N76" i="1"/>
  <c r="M76" i="1"/>
  <c r="N75" i="1"/>
  <c r="M75" i="1"/>
  <c r="N74" i="1"/>
  <c r="M74" i="1"/>
  <c r="N73" i="1"/>
  <c r="M73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46" i="1"/>
  <c r="M46" i="1"/>
  <c r="Q67" i="3" l="1"/>
  <c r="S66" i="3"/>
  <c r="R66" i="3"/>
  <c r="Q66" i="3"/>
  <c r="Q64" i="3"/>
  <c r="R63" i="3"/>
  <c r="Q63" i="3"/>
  <c r="Q60" i="3"/>
  <c r="S59" i="3"/>
  <c r="R59" i="3"/>
  <c r="Q59" i="3"/>
  <c r="Q57" i="3"/>
  <c r="R56" i="3"/>
  <c r="Q56" i="3"/>
  <c r="Q53" i="3"/>
  <c r="S52" i="3"/>
  <c r="R52" i="3"/>
  <c r="Q52" i="3"/>
  <c r="Q50" i="3"/>
  <c r="R49" i="3"/>
  <c r="Q49" i="3"/>
  <c r="Q46" i="3"/>
  <c r="S45" i="3"/>
  <c r="R45" i="3"/>
  <c r="Q45" i="3"/>
  <c r="Q43" i="3"/>
  <c r="R42" i="3"/>
  <c r="Q42" i="3"/>
  <c r="Q39" i="3"/>
  <c r="S38" i="3"/>
  <c r="R38" i="3"/>
  <c r="Q38" i="3"/>
  <c r="Q36" i="3"/>
  <c r="R35" i="3"/>
  <c r="Q35" i="3"/>
  <c r="Q32" i="3"/>
  <c r="S31" i="3"/>
  <c r="R31" i="3"/>
  <c r="Q31" i="3"/>
  <c r="Q29" i="3"/>
  <c r="R28" i="3"/>
  <c r="Q28" i="3"/>
  <c r="Q25" i="3"/>
  <c r="S24" i="3"/>
  <c r="R24" i="3"/>
  <c r="Q24" i="3"/>
  <c r="Q22" i="3"/>
  <c r="R21" i="3"/>
  <c r="Q21" i="3"/>
  <c r="Q18" i="3"/>
  <c r="S17" i="3"/>
  <c r="R17" i="3"/>
  <c r="Q17" i="3"/>
  <c r="Q15" i="3"/>
  <c r="R14" i="3"/>
  <c r="Q14" i="3"/>
  <c r="O13" i="3"/>
  <c r="O12" i="3"/>
  <c r="Q11" i="3"/>
  <c r="O11" i="3"/>
  <c r="S10" i="3"/>
  <c r="R10" i="3"/>
  <c r="Q10" i="3"/>
  <c r="O10" i="3"/>
  <c r="Q8" i="3"/>
  <c r="O8" i="3"/>
  <c r="R7" i="3"/>
  <c r="Q7" i="3"/>
  <c r="O7" i="3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2" i="1"/>
  <c r="M72" i="1"/>
  <c r="N71" i="1"/>
  <c r="M71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6" i="1"/>
  <c r="I5" i="1"/>
  <c r="I4" i="1"/>
  <c r="I3" i="1"/>
  <c r="I2" i="1"/>
  <c r="J69" i="1" l="1"/>
  <c r="J78" i="1"/>
  <c r="J77" i="1"/>
  <c r="J76" i="1"/>
  <c r="J66" i="1"/>
  <c r="J75" i="1"/>
  <c r="J65" i="1"/>
  <c r="J74" i="1"/>
  <c r="J64" i="1"/>
  <c r="J73" i="1"/>
  <c r="J67" i="1"/>
  <c r="J68" i="1"/>
  <c r="J70" i="1"/>
  <c r="K69" i="1"/>
  <c r="K78" i="1"/>
  <c r="K68" i="1"/>
  <c r="K77" i="1"/>
  <c r="K67" i="1"/>
  <c r="K76" i="1"/>
  <c r="K66" i="1"/>
  <c r="K75" i="1"/>
  <c r="K65" i="1"/>
  <c r="K74" i="1"/>
  <c r="K64" i="1"/>
  <c r="K73" i="1"/>
  <c r="K70" i="1"/>
  <c r="K84" i="1"/>
  <c r="K46" i="1"/>
  <c r="J138" i="1"/>
  <c r="J46" i="1"/>
  <c r="K20" i="1"/>
  <c r="J41" i="1"/>
  <c r="K142" i="1"/>
  <c r="K95" i="1"/>
  <c r="K109" i="1"/>
  <c r="K53" i="1"/>
  <c r="J84" i="1"/>
  <c r="K143" i="1"/>
  <c r="K31" i="1"/>
  <c r="J4" i="1"/>
  <c r="K121" i="1"/>
  <c r="K144" i="1"/>
  <c r="J98" i="1"/>
  <c r="K88" i="1"/>
  <c r="K137" i="1"/>
  <c r="J49" i="1"/>
  <c r="K49" i="1"/>
  <c r="K126" i="1"/>
  <c r="K98" i="1"/>
  <c r="K87" i="1"/>
  <c r="J12" i="1"/>
  <c r="K115" i="1"/>
  <c r="K146" i="1"/>
  <c r="J101" i="1"/>
  <c r="J140" i="1"/>
  <c r="J23" i="1"/>
  <c r="K24" i="1"/>
  <c r="K60" i="1"/>
  <c r="J126" i="1"/>
  <c r="K81" i="1"/>
  <c r="K140" i="1"/>
  <c r="J143" i="1"/>
  <c r="J20" i="1"/>
  <c r="J45" i="1"/>
  <c r="J34" i="1"/>
  <c r="K123" i="1"/>
  <c r="K34" i="1"/>
  <c r="J17" i="1"/>
  <c r="K116" i="1"/>
  <c r="J2" i="1"/>
  <c r="J81" i="1"/>
  <c r="K45" i="1"/>
  <c r="K23" i="1"/>
  <c r="K112" i="1"/>
  <c r="J13" i="1"/>
  <c r="J37" i="1"/>
  <c r="K17" i="1"/>
  <c r="K28" i="1"/>
  <c r="J87" i="1"/>
  <c r="K57" i="1"/>
  <c r="J112" i="1"/>
  <c r="L112" i="1" s="1"/>
  <c r="J71" i="1"/>
  <c r="J115" i="1"/>
  <c r="J40" i="1"/>
  <c r="J52" i="1"/>
  <c r="J129" i="1"/>
  <c r="K52" i="1"/>
  <c r="J104" i="1"/>
  <c r="J132" i="1"/>
  <c r="K12" i="1"/>
  <c r="K40" i="1"/>
  <c r="K18" i="1"/>
  <c r="J35" i="1"/>
  <c r="K47" i="1"/>
  <c r="K82" i="1"/>
  <c r="J99" i="1"/>
  <c r="K110" i="1"/>
  <c r="J127" i="1"/>
  <c r="K138" i="1"/>
  <c r="L138" i="1" s="1"/>
  <c r="J24" i="1"/>
  <c r="K35" i="1"/>
  <c r="J53" i="1"/>
  <c r="J88" i="1"/>
  <c r="L88" i="1" s="1"/>
  <c r="K99" i="1"/>
  <c r="J116" i="1"/>
  <c r="K127" i="1"/>
  <c r="J144" i="1"/>
  <c r="L144" i="1" s="1"/>
  <c r="J30" i="1"/>
  <c r="J59" i="1"/>
  <c r="K71" i="1"/>
  <c r="K105" i="1"/>
  <c r="J122" i="1"/>
  <c r="K133" i="1"/>
  <c r="J19" i="1"/>
  <c r="K30" i="1"/>
  <c r="K59" i="1"/>
  <c r="J83" i="1"/>
  <c r="J111" i="1"/>
  <c r="K122" i="1"/>
  <c r="K19" i="1"/>
  <c r="J36" i="1"/>
  <c r="K48" i="1"/>
  <c r="K83" i="1"/>
  <c r="J100" i="1"/>
  <c r="K111" i="1"/>
  <c r="J128" i="1"/>
  <c r="K139" i="1"/>
  <c r="J105" i="1"/>
  <c r="J94" i="1"/>
  <c r="J48" i="1"/>
  <c r="K94" i="1"/>
  <c r="J139" i="1"/>
  <c r="J25" i="1"/>
  <c r="K36" i="1"/>
  <c r="J54" i="1"/>
  <c r="J89" i="1"/>
  <c r="K100" i="1"/>
  <c r="J117" i="1"/>
  <c r="K128" i="1"/>
  <c r="J145" i="1"/>
  <c r="J133" i="1"/>
  <c r="K13" i="1"/>
  <c r="K41" i="1"/>
  <c r="J14" i="1"/>
  <c r="K25" i="1"/>
  <c r="J42" i="1"/>
  <c r="K54" i="1"/>
  <c r="J72" i="1"/>
  <c r="K89" i="1"/>
  <c r="J106" i="1"/>
  <c r="K117" i="1"/>
  <c r="J134" i="1"/>
  <c r="K145" i="1"/>
  <c r="K14" i="1"/>
  <c r="J31" i="1"/>
  <c r="L31" i="1" s="1"/>
  <c r="K42" i="1"/>
  <c r="J60" i="1"/>
  <c r="K72" i="1"/>
  <c r="J95" i="1"/>
  <c r="K106" i="1"/>
  <c r="J123" i="1"/>
  <c r="K134" i="1"/>
  <c r="J26" i="1"/>
  <c r="K37" i="1"/>
  <c r="J55" i="1"/>
  <c r="J90" i="1"/>
  <c r="K101" i="1"/>
  <c r="J118" i="1"/>
  <c r="K129" i="1"/>
  <c r="J146" i="1"/>
  <c r="K15" i="1"/>
  <c r="J32" i="1"/>
  <c r="K43" i="1"/>
  <c r="J61" i="1"/>
  <c r="K79" i="1"/>
  <c r="J96" i="1"/>
  <c r="K107" i="1"/>
  <c r="J124" i="1"/>
  <c r="K135" i="1"/>
  <c r="K21" i="1"/>
  <c r="J38" i="1"/>
  <c r="K50" i="1"/>
  <c r="K85" i="1"/>
  <c r="J102" i="1"/>
  <c r="K113" i="1"/>
  <c r="J130" i="1"/>
  <c r="K141" i="1"/>
  <c r="J15" i="1"/>
  <c r="K26" i="1"/>
  <c r="J43" i="1"/>
  <c r="K55" i="1"/>
  <c r="J79" i="1"/>
  <c r="K90" i="1"/>
  <c r="J107" i="1"/>
  <c r="K118" i="1"/>
  <c r="J135" i="1"/>
  <c r="J3" i="1"/>
  <c r="J21" i="1"/>
  <c r="K32" i="1"/>
  <c r="J50" i="1"/>
  <c r="K61" i="1"/>
  <c r="J85" i="1"/>
  <c r="K96" i="1"/>
  <c r="J113" i="1"/>
  <c r="K124" i="1"/>
  <c r="J141" i="1"/>
  <c r="J27" i="1"/>
  <c r="K38" i="1"/>
  <c r="J56" i="1"/>
  <c r="J91" i="1"/>
  <c r="K102" i="1"/>
  <c r="J119" i="1"/>
  <c r="K130" i="1"/>
  <c r="J16" i="1"/>
  <c r="K27" i="1"/>
  <c r="J44" i="1"/>
  <c r="K56" i="1"/>
  <c r="J80" i="1"/>
  <c r="K91" i="1"/>
  <c r="J108" i="1"/>
  <c r="K119" i="1"/>
  <c r="J136" i="1"/>
  <c r="J22" i="1"/>
  <c r="K33" i="1"/>
  <c r="J51" i="1"/>
  <c r="K62" i="1"/>
  <c r="J86" i="1"/>
  <c r="K97" i="1"/>
  <c r="J114" i="1"/>
  <c r="K125" i="1"/>
  <c r="J142" i="1"/>
  <c r="K16" i="1"/>
  <c r="J33" i="1"/>
  <c r="K44" i="1"/>
  <c r="J62" i="1"/>
  <c r="K80" i="1"/>
  <c r="J97" i="1"/>
  <c r="L97" i="1" s="1"/>
  <c r="K108" i="1"/>
  <c r="J125" i="1"/>
  <c r="K136" i="1"/>
  <c r="J11" i="1"/>
  <c r="K22" i="1"/>
  <c r="J39" i="1"/>
  <c r="K51" i="1"/>
  <c r="J63" i="1"/>
  <c r="K86" i="1"/>
  <c r="J103" i="1"/>
  <c r="K114" i="1"/>
  <c r="J131" i="1"/>
  <c r="K11" i="1"/>
  <c r="J28" i="1"/>
  <c r="K39" i="1"/>
  <c r="J57" i="1"/>
  <c r="K63" i="1"/>
  <c r="J92" i="1"/>
  <c r="K103" i="1"/>
  <c r="J120" i="1"/>
  <c r="K131" i="1"/>
  <c r="K92" i="1"/>
  <c r="J109" i="1"/>
  <c r="K120" i="1"/>
  <c r="J137" i="1"/>
  <c r="J29" i="1"/>
  <c r="J58" i="1"/>
  <c r="J93" i="1"/>
  <c r="K104" i="1"/>
  <c r="J121" i="1"/>
  <c r="L121" i="1" s="1"/>
  <c r="K132" i="1"/>
  <c r="J18" i="1"/>
  <c r="K29" i="1"/>
  <c r="J47" i="1"/>
  <c r="K58" i="1"/>
  <c r="J82" i="1"/>
  <c r="K93" i="1"/>
  <c r="J110" i="1"/>
  <c r="L67" i="1" l="1"/>
  <c r="L65" i="1"/>
  <c r="L73" i="1"/>
  <c r="L75" i="1"/>
  <c r="L66" i="1"/>
  <c r="L70" i="1"/>
  <c r="L84" i="1"/>
  <c r="L76" i="1"/>
  <c r="L68" i="1"/>
  <c r="L74" i="1"/>
  <c r="L77" i="1"/>
  <c r="L64" i="1"/>
  <c r="L46" i="1"/>
  <c r="L78" i="1"/>
  <c r="L69" i="1"/>
  <c r="L53" i="1"/>
  <c r="L133" i="1"/>
  <c r="L37" i="1"/>
  <c r="L41" i="1"/>
  <c r="L87" i="1"/>
  <c r="L115" i="1"/>
  <c r="L23" i="1"/>
  <c r="L137" i="1"/>
  <c r="L142" i="1"/>
  <c r="L109" i="1"/>
  <c r="L95" i="1"/>
  <c r="L20" i="1"/>
  <c r="L126" i="1"/>
  <c r="L51" i="1"/>
  <c r="L104" i="1"/>
  <c r="L28" i="1"/>
  <c r="L136" i="1"/>
  <c r="L40" i="1"/>
  <c r="L129" i="1"/>
  <c r="L132" i="1"/>
  <c r="L101" i="1"/>
  <c r="L98" i="1"/>
  <c r="L57" i="1"/>
  <c r="L146" i="1"/>
  <c r="L13" i="1"/>
  <c r="L108" i="1"/>
  <c r="L143" i="1"/>
  <c r="L22" i="1"/>
  <c r="L12" i="1"/>
  <c r="L71" i="1"/>
  <c r="L116" i="1"/>
  <c r="L94" i="1"/>
  <c r="L128" i="1"/>
  <c r="L24" i="1"/>
  <c r="L34" i="1"/>
  <c r="L52" i="1"/>
  <c r="L105" i="1"/>
  <c r="L29" i="1"/>
  <c r="L17" i="1"/>
  <c r="L49" i="1"/>
  <c r="L140" i="1"/>
  <c r="L100" i="1"/>
  <c r="L113" i="1"/>
  <c r="L99" i="1"/>
  <c r="L114" i="1"/>
  <c r="L85" i="1"/>
  <c r="L72" i="1"/>
  <c r="L123" i="1"/>
  <c r="L60" i="1"/>
  <c r="L58" i="1"/>
  <c r="L56" i="1"/>
  <c r="L62" i="1"/>
  <c r="L27" i="1"/>
  <c r="L33" i="1"/>
  <c r="L141" i="1"/>
  <c r="L134" i="1"/>
  <c r="L124" i="1"/>
  <c r="L127" i="1"/>
  <c r="L106" i="1"/>
  <c r="L96" i="1"/>
  <c r="L61" i="1"/>
  <c r="L36" i="1"/>
  <c r="L45" i="1"/>
  <c r="L86" i="1"/>
  <c r="L81" i="1"/>
  <c r="L120" i="1"/>
  <c r="L50" i="1"/>
  <c r="L42" i="1"/>
  <c r="L92" i="1"/>
  <c r="L32" i="1"/>
  <c r="L35" i="1"/>
  <c r="L21" i="1"/>
  <c r="L14" i="1"/>
  <c r="L111" i="1"/>
  <c r="L83" i="1"/>
  <c r="L107" i="1"/>
  <c r="L19" i="1"/>
  <c r="L79" i="1"/>
  <c r="L117" i="1"/>
  <c r="L82" i="1"/>
  <c r="L63" i="1"/>
  <c r="L89" i="1"/>
  <c r="L44" i="1"/>
  <c r="L26" i="1"/>
  <c r="L59" i="1"/>
  <c r="L39" i="1"/>
  <c r="L15" i="1"/>
  <c r="L54" i="1"/>
  <c r="L30" i="1"/>
  <c r="L131" i="1"/>
  <c r="L145" i="1"/>
  <c r="L110" i="1"/>
  <c r="L122" i="1"/>
  <c r="L43" i="1"/>
  <c r="L47" i="1"/>
  <c r="L18" i="1"/>
  <c r="L16" i="1"/>
  <c r="L38" i="1"/>
  <c r="L135" i="1"/>
  <c r="L90" i="1"/>
  <c r="L103" i="1"/>
  <c r="L80" i="1"/>
  <c r="L55" i="1"/>
  <c r="L11" i="1"/>
  <c r="L130" i="1"/>
  <c r="L25" i="1"/>
  <c r="L119" i="1"/>
  <c r="L139" i="1"/>
  <c r="L125" i="1"/>
  <c r="L102" i="1"/>
  <c r="L118" i="1"/>
  <c r="L93" i="1"/>
  <c r="L91" i="1"/>
  <c r="L48" i="1"/>
</calcChain>
</file>

<file path=xl/sharedStrings.xml><?xml version="1.0" encoding="utf-8"?>
<sst xmlns="http://schemas.openxmlformats.org/spreadsheetml/2006/main" count="501" uniqueCount="294">
  <si>
    <t>刀刃</t>
  </si>
  <si>
    <t>刀把</t>
  </si>
  <si>
    <t>刀鞘</t>
  </si>
  <si>
    <t>刀镡</t>
  </si>
  <si>
    <t>SUM</t>
  </si>
  <si>
    <t>TSUM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</si>
  <si>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</si>
  <si>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</si>
  <si>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</si>
  <si>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</si>
  <si>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</si>
  <si>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</si>
  <si>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</si>
  <si>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</si>
  <si>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</si>
  <si>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</si>
  <si>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</si>
  <si>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</si>
  <si>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</si>
  <si>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</si>
  <si>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</si>
  <si>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</si>
  <si>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</si>
  <si>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</si>
  <si>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</si>
  <si>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</si>
  <si>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</si>
  <si>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</si>
  <si>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</si>
  <si>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</si>
  <si>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盔甲韧性</t>
  </si>
  <si>
    <t>行动力恢复效率+%</t>
  </si>
  <si>
    <t>癫火抵抗+%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</si>
  <si>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</si>
  <si>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</si>
  <si>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</si>
  <si>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</si>
  <si>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</si>
  <si>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</si>
  <si>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</si>
  <si>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</si>
  <si>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</si>
  <si>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</si>
  <si>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</si>
  <si>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</si>
  <si>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</si>
  <si>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</si>
  <si>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</si>
  <si>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</si>
  <si>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</si>
  <si>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</si>
  <si>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</si>
  <si>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</si>
  <si>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</si>
  <si>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</si>
  <si>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</si>
  <si>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</si>
  <si>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</si>
  <si>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</si>
  <si>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</si>
  <si>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</si>
  <si>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</si>
  <si>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</si>
  <si>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</si>
  <si>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</si>
  <si>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</si>
  <si>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</si>
  <si>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</si>
  <si>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</si>
  <si>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</si>
  <si>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</si>
  <si>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</si>
  <si>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</si>
  <si>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</si>
  <si>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</si>
  <si>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</si>
  <si>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</si>
  <si>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</si>
  <si>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</si>
  <si>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</si>
  <si>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</si>
  <si>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</si>
  <si>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</si>
  <si>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</si>
  <si>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</si>
  <si>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</si>
  <si>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</si>
  <si>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</si>
  <si>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</si>
  <si>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</si>
  <si>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</si>
  <si>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</si>
  <si>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</si>
  <si>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</si>
  <si>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</si>
  <si>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</si>
  <si>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</si>
  <si>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</si>
  <si>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</si>
  <si>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</si>
  <si>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</si>
  <si>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</si>
  <si>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</si>
  <si>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</si>
  <si>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</si>
  <si>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</si>
  <si>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</si>
  <si>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</si>
  <si>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</si>
  <si>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</si>
  <si>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</si>
  <si>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</si>
  <si>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</si>
  <si>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</si>
  <si>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</si>
  <si>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</si>
  <si>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</si>
  <si>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</si>
  <si>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</si>
  <si>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</si>
  <si>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</si>
  <si>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</si>
  <si>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</si>
  <si>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</si>
  <si>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</si>
  <si>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</si>
  <si>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</si>
  <si>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</si>
  <si>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</si>
  <si>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</si>
  <si>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</si>
  <si>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</si>
  <si>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</si>
  <si>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</si>
  <si>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</si>
  <si>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</si>
  <si>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</si>
  <si>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</si>
  <si>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</si>
  <si>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</si>
  <si>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</si>
  <si>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</si>
  <si>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</si>
  <si>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</si>
  <si>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</si>
  <si>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</si>
  <si>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</si>
  <si>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</si>
  <si>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</si>
  <si>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</si>
  <si>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</si>
  <si>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</si>
  <si>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</si>
  <si>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</si>
  <si>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</si>
  <si>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</si>
  <si>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</si>
  <si>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</si>
  <si>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</si>
  <si>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</si>
  <si>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</si>
  <si>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</si>
  <si>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</si>
  <si>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</si>
  <si>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</si>
  <si>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</si>
  <si>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</si>
  <si>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</si>
  <si>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</si>
  <si>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</si>
  <si>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</si>
  <si>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</si>
  <si>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</si>
  <si>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</si>
  <si>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</si>
  <si>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</si>
  <si>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</si>
  <si>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</si>
  <si>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冰霜伤害+0.5</t>
  </si>
  <si>
    <t>twilightforest:fiery_ingot</t>
  </si>
  <si>
    <t>赤铁锭</t>
  </si>
  <si>
    <t>火焰伤害+1</t>
  </si>
  <si>
    <t>癫火抵抗+0.05</t>
  </si>
  <si>
    <t>1.2.9</t>
  </si>
  <si>
    <t>deep_aether:stratus_ingot</t>
  </si>
  <si>
    <t>云母钢锭</t>
  </si>
  <si>
    <t>实体范围+0.05</t>
  </si>
  <si>
    <t>1.3.0</t>
  </si>
  <si>
    <t>1.4.0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</si>
  <si>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</si>
  <si>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</si>
  <si>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</si>
  <si>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</si>
  <si>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</si>
  <si>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</si>
  <si>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</si>
  <si>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</si>
  <si>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</si>
  <si>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</si>
  <si>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</si>
  <si>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</si>
  <si>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2.1.0</t>
    <phoneticPr fontId="2" type="noConversion"/>
  </si>
  <si>
    <t>2.2.0</t>
    <phoneticPr fontId="2" type="noConversion"/>
  </si>
  <si>
    <t>2.3.0</t>
    <phoneticPr fontId="2" type="noConversion"/>
  </si>
  <si>
    <t>幻境石水晶</t>
    <phoneticPr fontId="2" type="noConversion"/>
  </si>
  <si>
    <t>末地钢锭</t>
    <phoneticPr fontId="2" type="noConversion"/>
  </si>
  <si>
    <t>2.3.1</t>
    <phoneticPr fontId="2" type="noConversion"/>
  </si>
  <si>
    <t>震动合金</t>
    <phoneticPr fontId="2" type="noConversion"/>
  </si>
  <si>
    <t>'enderio:vibrant_alloy_ingot'</t>
  </si>
  <si>
    <t>'integrateddynamics:crystalized_menril_chunk'</t>
  </si>
  <si>
    <t>门瑞欧结晶</t>
    <phoneticPr fontId="2" type="noConversion"/>
  </si>
  <si>
    <t>2.1.1</t>
    <phoneticPr fontId="2" type="noConversion"/>
  </si>
  <si>
    <t>紫颂果结晶</t>
    <phoneticPr fontId="2" type="noConversion"/>
  </si>
  <si>
    <t>2.1.2</t>
    <phoneticPr fontId="2" type="noConversion"/>
  </si>
  <si>
    <t>'integrateddynamics:logic_director'</t>
  </si>
  <si>
    <t>逻辑导向零件</t>
    <phoneticPr fontId="2" type="noConversion"/>
  </si>
  <si>
    <t>1.3.1</t>
    <phoneticPr fontId="2" type="noConversion"/>
  </si>
  <si>
    <t>下界合金</t>
    <phoneticPr fontId="2" type="noConversion"/>
  </si>
  <si>
    <t>1.3.2</t>
    <phoneticPr fontId="2" type="noConversion"/>
  </si>
  <si>
    <t>regions_unexplored:hanging_earlight_fruit</t>
  </si>
  <si>
    <t>垂悬耳灯果</t>
  </si>
  <si>
    <t>软</t>
    <phoneticPr fontId="2" type="noConversion"/>
  </si>
  <si>
    <t>硬</t>
    <phoneticPr fontId="2" type="noConversion"/>
  </si>
  <si>
    <t>紫金</t>
    <phoneticPr fontId="2" type="noConversion"/>
  </si>
  <si>
    <t>戴斯锭</t>
    <phoneticPr fontId="2" type="noConversion"/>
  </si>
  <si>
    <t>冰霜伤害+0.5</t>
    <phoneticPr fontId="2" type="noConversion"/>
  </si>
  <si>
    <t>护甲+0.5</t>
    <phoneticPr fontId="2" type="noConversion"/>
  </si>
  <si>
    <t>击退抗性+0.1</t>
    <phoneticPr fontId="2" type="noConversion"/>
  </si>
  <si>
    <t>岩石裂骸</t>
    <phoneticPr fontId="2" type="noConversion"/>
  </si>
  <si>
    <t>'thermal:basalz_rod'</t>
  </si>
  <si>
    <t>'#forge:ingots/netherite'</t>
  </si>
  <si>
    <t>韧性+0.25</t>
    <phoneticPr fontId="2" type="noConversion"/>
  </si>
  <si>
    <t>生命值+3</t>
    <phoneticPr fontId="2" type="noConversion"/>
  </si>
  <si>
    <t>'#forge:ingots/ostrum'</t>
  </si>
  <si>
    <t>#forge:ingots/desh'</t>
    <phoneticPr fontId="2" type="noConversion"/>
  </si>
  <si>
    <t>炎狱尖塔块</t>
    <phoneticPr fontId="2" type="noConversion"/>
  </si>
  <si>
    <t>耐热金属</t>
    <phoneticPr fontId="2" type="noConversion"/>
  </si>
  <si>
    <t>2.1.3</t>
    <phoneticPr fontId="2" type="noConversion"/>
  </si>
  <si>
    <t>虚金</t>
    <phoneticPr fontId="2" type="noConversion"/>
  </si>
  <si>
    <t>kubejs:virtual_gold_ingot</t>
    <phoneticPr fontId="2" type="noConversion"/>
  </si>
  <si>
    <t>御腐</t>
    <phoneticPr fontId="2" type="noConversion"/>
  </si>
  <si>
    <t>2.2.1</t>
    <phoneticPr fontId="2" type="noConversion"/>
  </si>
  <si>
    <t>霜钢</t>
    <phoneticPr fontId="2" type="noConversion"/>
  </si>
  <si>
    <t>2.2.2</t>
    <phoneticPr fontId="2" type="noConversion"/>
  </si>
  <si>
    <t>贵豪</t>
    <phoneticPr fontId="2" type="noConversion"/>
  </si>
  <si>
    <t>遗忆</t>
    <phoneticPr fontId="2" type="noConversion"/>
  </si>
  <si>
    <t>2.2.3</t>
    <phoneticPr fontId="2" type="noConversion"/>
  </si>
  <si>
    <t>极限合金</t>
    <phoneticPr fontId="2" type="noConversion"/>
  </si>
  <si>
    <t>中子</t>
    <phoneticPr fontId="2" type="noConversion"/>
  </si>
  <si>
    <t>2.2.4</t>
    <phoneticPr fontId="2" type="noConversion"/>
  </si>
  <si>
    <t>铍青铜合金</t>
    <phoneticPr fontId="2" type="noConversion"/>
  </si>
  <si>
    <t>三项合金</t>
    <phoneticPr fontId="2" type="noConversion"/>
  </si>
  <si>
    <t>kubejs:trinity_alloy_ingot</t>
    <phoneticPr fontId="2" type="noConversion"/>
  </si>
  <si>
    <t>kubejs:beryllium_bronze_alloy_ingot</t>
    <phoneticPr fontId="2" type="noConversion"/>
  </si>
  <si>
    <t>'#forge:ingots/neutronium'</t>
  </si>
  <si>
    <t>'#forge:ingots/forgotten_metal'</t>
  </si>
  <si>
    <t>'#forge:ingots/regalium'</t>
  </si>
  <si>
    <t>'#forge:ingots/utherium'</t>
  </si>
  <si>
    <t>'enderio:end_steel_ingot'</t>
    <phoneticPr fontId="2" type="noConversion"/>
  </si>
  <si>
    <t>'#forge:ingots/calorite'</t>
    <phoneticPr fontId="2" type="noConversion"/>
  </si>
  <si>
    <t>'#forge:ingots/extreme'</t>
    <phoneticPr fontId="2" type="noConversion"/>
  </si>
  <si>
    <t>'quark:myalite_crystal'</t>
    <phoneticPr fontId="2" type="noConversion"/>
  </si>
  <si>
    <t>爆裂紫颂果</t>
    <phoneticPr fontId="2" type="noConversion"/>
  </si>
  <si>
    <t>integrateddynamics:crystalized_chorus_chunk'</t>
    <phoneticPr fontId="2" type="noConversion"/>
  </si>
  <si>
    <t>minecraft:popped_chorus_fruit'</t>
    <phoneticPr fontId="2" type="noConversion"/>
  </si>
  <si>
    <t>火焰伤害+1.5</t>
    <phoneticPr fontId="2" type="noConversion"/>
  </si>
  <si>
    <t>护甲+1</t>
    <phoneticPr fontId="2" type="noConversion"/>
  </si>
  <si>
    <t>韧性+1</t>
    <phoneticPr fontId="2" type="noConversion"/>
  </si>
  <si>
    <t>韧性+0.75</t>
    <phoneticPr fontId="2" type="noConversion"/>
  </si>
  <si>
    <t>护甲穿透+2</t>
    <phoneticPr fontId="2" type="noConversion"/>
  </si>
  <si>
    <t>癫火抵抗+0.1</t>
    <phoneticPr fontId="2" type="noConversion"/>
  </si>
  <si>
    <t>生命值+4</t>
    <phoneticPr fontId="2" type="noConversion"/>
  </si>
  <si>
    <t>暴击率+0.05</t>
    <phoneticPr fontId="2" type="noConversion"/>
  </si>
  <si>
    <t>无</t>
    <phoneticPr fontId="2" type="noConversion"/>
  </si>
  <si>
    <t>盔甲撕裂+5%</t>
    <phoneticPr fontId="2" type="noConversion"/>
  </si>
  <si>
    <t>经验获取+0.15</t>
    <phoneticPr fontId="2" type="noConversion"/>
  </si>
  <si>
    <t>暴击伤害+0.05</t>
    <phoneticPr fontId="2" type="noConversion"/>
  </si>
  <si>
    <t>攻击伤害+3%</t>
    <phoneticPr fontId="2" type="noConversion"/>
  </si>
  <si>
    <t>移动速度-5%</t>
    <phoneticPr fontId="2" type="noConversion"/>
  </si>
  <si>
    <t>护甲穿透+1</t>
    <phoneticPr fontId="2" type="noConversion"/>
  </si>
  <si>
    <t>生命值+3%</t>
    <phoneticPr fontId="2" type="noConversion"/>
  </si>
  <si>
    <t>盔甲撕裂+3%</t>
    <phoneticPr fontId="2" type="noConversion"/>
  </si>
  <si>
    <t>招架治疗量+333</t>
    <phoneticPr fontId="2" type="noConversion"/>
  </si>
  <si>
    <t>暴击率+0.035</t>
    <phoneticPr fontId="2" type="noConversion"/>
  </si>
  <si>
    <t>冰霜伤害+3</t>
    <phoneticPr fontId="2" type="noConversion"/>
  </si>
  <si>
    <t>火焰伤害+3</t>
    <phoneticPr fontId="2" type="noConversion"/>
  </si>
  <si>
    <t>特殊行动冷却+0.05</t>
    <phoneticPr fontId="2" type="noConversion"/>
  </si>
  <si>
    <t>行动力效率+8</t>
    <phoneticPr fontId="2" type="noConversion"/>
  </si>
  <si>
    <t>攻击伤害+1</t>
    <phoneticPr fontId="2" type="noConversion"/>
  </si>
  <si>
    <t>冰霜伤害+6</t>
    <phoneticPr fontId="2" type="noConversion"/>
  </si>
  <si>
    <t>ad_astra:infernal_spire_block'</t>
    <phoneticPr fontId="2" type="noConversion"/>
  </si>
  <si>
    <t>紫菘玻璃</t>
    <phoneticPr fontId="2" type="noConversion"/>
  </si>
  <si>
    <t>'integratedterminals:chorus_glass'</t>
  </si>
  <si>
    <t>行动力效率+10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</si>
</sst>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center" vertical="center"/>
    </xf>
    <xf numFmtId="0" fontId="1" fillId="7" borderId="1" xfId="0" quotePrefix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17" borderId="0" xfId="0" applyFill="1"/>
    <xf numFmtId="0" fontId="0" fillId="18" borderId="0" xfId="0" applyFill="1"/>
    <xf numFmtId="0" fontId="3" fillId="3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1" xfId="0" quotePrefix="1" applyFont="1" applyFill="1" applyBorder="1" applyAlignment="1">
      <alignment horizontal="center" vertical="center"/>
    </xf>
    <xf numFmtId="0" fontId="3" fillId="7" borderId="1" xfId="0" quotePrefix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6"/>
  <sheetViews>
    <sheetView zoomScale="85" zoomScaleNormal="85" workbookViewId="0">
      <pane xSplit="6" ySplit="10" topLeftCell="G61" activePane="bottomRight" state="frozen"/>
      <selection pane="topRight"/>
      <selection pane="bottomLeft"/>
      <selection pane="bottomRight" activeCell="A63" sqref="A63:S81"/>
    </sheetView>
  </sheetViews>
  <sheetFormatPr defaultColWidth="16.58203125" defaultRowHeight="20" customHeight="1" x14ac:dyDescent="0.3"/>
  <cols>
    <col min="1" max="3" width="8.58203125" style="2" customWidth="1"/>
    <col min="4" max="5" width="16.58203125" style="2" customWidth="1"/>
    <col min="6" max="6" width="8.58203125" style="2" customWidth="1"/>
    <col min="7" max="16" width="12.58203125" style="2" customWidth="1"/>
    <col min="17" max="19" width="15.58203125" style="2" customWidth="1"/>
    <col min="20" max="16384" width="16.58203125" style="2"/>
  </cols>
  <sheetData>
    <row r="1" spans="1:19" ht="20" customHeight="1" x14ac:dyDescent="0.3"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M1" s="18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</row>
    <row r="2" spans="1:19" ht="20" customHeight="1" x14ac:dyDescent="0.3">
      <c r="C2" s="2" t="s">
        <v>12</v>
      </c>
      <c r="D2" s="2" t="s">
        <v>13</v>
      </c>
      <c r="E2" s="10">
        <v>1</v>
      </c>
      <c r="F2" s="10">
        <v>0.5</v>
      </c>
      <c r="G2" s="10">
        <v>1</v>
      </c>
      <c r="H2" s="10">
        <v>-0.5</v>
      </c>
      <c r="I2" s="19">
        <f t="shared" ref="I2:I7" si="0">SUM(E2:H2)</f>
        <v>2</v>
      </c>
      <c r="J2" s="2">
        <f>I2+I5</f>
        <v>2.5</v>
      </c>
      <c r="L2" s="18" t="s">
        <v>14</v>
      </c>
      <c r="M2" s="2">
        <v>6.25</v>
      </c>
      <c r="P2" s="2" t="s">
        <v>15</v>
      </c>
      <c r="Q2" s="2" t="s">
        <v>15</v>
      </c>
      <c r="R2" s="2" t="s">
        <v>15</v>
      </c>
      <c r="S2" s="2" t="s">
        <v>15</v>
      </c>
    </row>
    <row r="3" spans="1:19" ht="20" customHeight="1" x14ac:dyDescent="0.3">
      <c r="D3" s="18" t="s">
        <v>16</v>
      </c>
      <c r="E3" s="10">
        <v>0.5</v>
      </c>
      <c r="F3" s="10">
        <v>0</v>
      </c>
      <c r="G3" s="10">
        <v>-0.5</v>
      </c>
      <c r="H3" s="10">
        <v>0.5</v>
      </c>
      <c r="I3" s="19">
        <f t="shared" si="0"/>
        <v>0.5</v>
      </c>
      <c r="J3" s="2">
        <f>I3+I6</f>
        <v>1</v>
      </c>
      <c r="L3" s="18" t="s">
        <v>17</v>
      </c>
      <c r="M3" s="2">
        <v>1.5</v>
      </c>
      <c r="P3" s="2" t="s">
        <v>18</v>
      </c>
      <c r="Q3" s="2" t="s">
        <v>19</v>
      </c>
      <c r="R3" s="2" t="s">
        <v>20</v>
      </c>
      <c r="S3" s="2" t="s">
        <v>21</v>
      </c>
    </row>
    <row r="4" spans="1:19" ht="20" customHeight="1" x14ac:dyDescent="0.3">
      <c r="C4" s="18" t="s">
        <v>22</v>
      </c>
      <c r="D4" s="2" t="s">
        <v>23</v>
      </c>
      <c r="E4" s="10">
        <v>0</v>
      </c>
      <c r="F4" s="10">
        <v>0</v>
      </c>
      <c r="G4" s="10">
        <v>0</v>
      </c>
      <c r="H4" s="10">
        <v>0</v>
      </c>
      <c r="I4" s="19">
        <f t="shared" si="0"/>
        <v>0</v>
      </c>
      <c r="J4" s="2">
        <f>I4+I7</f>
        <v>0</v>
      </c>
      <c r="P4" s="2" t="s">
        <v>24</v>
      </c>
      <c r="Q4" s="2" t="s">
        <v>25</v>
      </c>
      <c r="R4" s="2" t="s">
        <v>15</v>
      </c>
      <c r="S4" s="2" t="s">
        <v>15</v>
      </c>
    </row>
    <row r="5" spans="1:19" ht="20" customHeight="1" x14ac:dyDescent="0.3">
      <c r="C5" s="2" t="s">
        <v>26</v>
      </c>
      <c r="D5" s="2" t="s">
        <v>13</v>
      </c>
      <c r="E5" s="10">
        <v>-0.5</v>
      </c>
      <c r="F5" s="10">
        <v>0.5</v>
      </c>
      <c r="G5" s="10">
        <v>0</v>
      </c>
      <c r="H5" s="10">
        <v>0.5</v>
      </c>
      <c r="I5" s="19">
        <f t="shared" si="0"/>
        <v>0.5</v>
      </c>
      <c r="P5" s="2" t="s">
        <v>27</v>
      </c>
      <c r="Q5" s="2" t="s">
        <v>28</v>
      </c>
      <c r="R5" s="2" t="s">
        <v>29</v>
      </c>
    </row>
    <row r="6" spans="1:19" ht="20" customHeight="1" x14ac:dyDescent="0.3">
      <c r="D6" s="2" t="s">
        <v>16</v>
      </c>
      <c r="E6" s="10">
        <v>1</v>
      </c>
      <c r="F6" s="10">
        <v>-1</v>
      </c>
      <c r="G6" s="10">
        <v>0.5</v>
      </c>
      <c r="H6" s="10">
        <v>0</v>
      </c>
      <c r="I6" s="19">
        <f t="shared" si="0"/>
        <v>0.5</v>
      </c>
      <c r="P6" s="2" t="s">
        <v>15</v>
      </c>
      <c r="Q6" s="2" t="s">
        <v>15</v>
      </c>
      <c r="R6" s="2" t="s">
        <v>15</v>
      </c>
    </row>
    <row r="7" spans="1:19" ht="20" customHeight="1" x14ac:dyDescent="0.3">
      <c r="C7" s="18" t="s">
        <v>30</v>
      </c>
      <c r="D7" s="2" t="s">
        <v>23</v>
      </c>
      <c r="E7" s="10">
        <v>0</v>
      </c>
      <c r="F7" s="10">
        <v>0</v>
      </c>
      <c r="G7" s="10">
        <v>0</v>
      </c>
      <c r="H7" s="10">
        <v>0</v>
      </c>
      <c r="I7" s="19">
        <f t="shared" si="0"/>
        <v>0</v>
      </c>
      <c r="P7" s="2" t="s">
        <v>31</v>
      </c>
      <c r="Q7" s="2" t="s">
        <v>32</v>
      </c>
    </row>
    <row r="8" spans="1:19" ht="20" customHeight="1" x14ac:dyDescent="0.3">
      <c r="F8" s="2" t="s">
        <v>33</v>
      </c>
      <c r="P8" s="2" t="s">
        <v>15</v>
      </c>
      <c r="Q8" s="2" t="s">
        <v>15</v>
      </c>
    </row>
    <row r="9" spans="1:19" ht="20" customHeight="1" x14ac:dyDescent="0.3">
      <c r="F9" s="2" t="s">
        <v>34</v>
      </c>
      <c r="G9" s="2" t="s">
        <v>13</v>
      </c>
      <c r="H9" s="2" t="s">
        <v>16</v>
      </c>
      <c r="I9" s="2" t="s">
        <v>23</v>
      </c>
    </row>
    <row r="10" spans="1:19" ht="20" customHeight="1" x14ac:dyDescent="0.3">
      <c r="A10" s="2" t="s">
        <v>35</v>
      </c>
      <c r="B10" s="18" t="s">
        <v>36</v>
      </c>
      <c r="C10" s="3" t="s">
        <v>37</v>
      </c>
      <c r="D10" s="3" t="s">
        <v>38</v>
      </c>
      <c r="E10" s="3" t="s">
        <v>39</v>
      </c>
      <c r="F10" s="3" t="s">
        <v>40</v>
      </c>
      <c r="G10" s="4" t="s">
        <v>41</v>
      </c>
      <c r="H10" s="5" t="s">
        <v>42</v>
      </c>
      <c r="I10" s="6" t="s">
        <v>43</v>
      </c>
      <c r="J10" s="20" t="s">
        <v>12</v>
      </c>
      <c r="K10" s="20" t="s">
        <v>26</v>
      </c>
      <c r="L10" s="21" t="s">
        <v>44</v>
      </c>
      <c r="M10" s="22" t="s">
        <v>22</v>
      </c>
      <c r="N10" s="22" t="s">
        <v>30</v>
      </c>
      <c r="O10" s="7" t="s">
        <v>45</v>
      </c>
      <c r="P10" s="7" t="s">
        <v>46</v>
      </c>
      <c r="Q10" s="3" t="s">
        <v>47</v>
      </c>
      <c r="R10" s="3" t="s">
        <v>48</v>
      </c>
      <c r="S10" s="3" t="s">
        <v>49</v>
      </c>
    </row>
    <row r="11" spans="1:19" ht="20" customHeight="1" x14ac:dyDescent="0.3">
      <c r="A11" s="2">
        <v>5</v>
      </c>
      <c r="B11" s="2">
        <v>7</v>
      </c>
      <c r="C11" s="9" t="s">
        <v>50</v>
      </c>
      <c r="D11" s="9" t="s">
        <v>51</v>
      </c>
      <c r="E11" s="9" t="s">
        <v>52</v>
      </c>
      <c r="F11" s="9" t="s">
        <v>53</v>
      </c>
      <c r="G11" s="9">
        <v>1.3</v>
      </c>
      <c r="H11" s="9">
        <v>1.3</v>
      </c>
      <c r="I11" s="9">
        <v>0.8</v>
      </c>
      <c r="J11" s="23">
        <f t="shared" ref="J11" si="1">(G11*$I$2)+(H11*$I$3)+(I11*$I$4)</f>
        <v>3.25</v>
      </c>
      <c r="K11" s="10">
        <f t="shared" ref="K11:K101" si="2">(G11*$I$5)+(H11*$I$6)+(I11*$I$7)</f>
        <v>1.3</v>
      </c>
      <c r="L11" s="12">
        <f t="shared" ref="L11:L55" si="3">J11+K11</f>
        <v>4.55</v>
      </c>
      <c r="M11" s="13">
        <f>I11*$M$2</f>
        <v>5</v>
      </c>
      <c r="N11" s="13">
        <f>I11*$M$3</f>
        <v>1.2000000000000002</v>
      </c>
      <c r="O11" s="10">
        <v>1</v>
      </c>
      <c r="P11" s="10">
        <v>1</v>
      </c>
      <c r="Q11" s="11" t="s">
        <v>54</v>
      </c>
      <c r="R11" s="10"/>
      <c r="S11" s="10"/>
    </row>
    <row r="12" spans="1:19" ht="20" customHeight="1" x14ac:dyDescent="0.3">
      <c r="C12" s="9"/>
      <c r="D12" s="9" t="s">
        <v>55</v>
      </c>
      <c r="E12" s="14" t="s">
        <v>56</v>
      </c>
      <c r="F12" s="14" t="s">
        <v>57</v>
      </c>
      <c r="G12" s="9">
        <v>1.4</v>
      </c>
      <c r="H12" s="9">
        <v>1.3</v>
      </c>
      <c r="I12" s="9">
        <v>0.9</v>
      </c>
      <c r="J12" s="23">
        <f t="shared" ref="J12" si="4">(G12*$I$2)+(H12*$I$3)</f>
        <v>3.4499999999999997</v>
      </c>
      <c r="K12" s="10">
        <f t="shared" ref="K12" si="5">(G12*$I$5)+(H12*$I$6)+(I12*$I$7)</f>
        <v>1.35</v>
      </c>
      <c r="L12" s="12">
        <f t="shared" ref="L12" si="6">J12+K12</f>
        <v>4.8</v>
      </c>
      <c r="M12" s="13">
        <f t="shared" ref="M12" si="7">I12*$M$2</f>
        <v>5.625</v>
      </c>
      <c r="N12" s="13">
        <f t="shared" ref="N12" si="8">I12*$M$3</f>
        <v>1.35</v>
      </c>
      <c r="O12" s="10">
        <v>1</v>
      </c>
      <c r="P12" s="10">
        <v>3</v>
      </c>
      <c r="Q12" s="11"/>
      <c r="R12" s="10"/>
      <c r="S12" s="10"/>
    </row>
    <row r="13" spans="1:19" ht="20" customHeight="1" x14ac:dyDescent="0.3">
      <c r="C13" s="9"/>
      <c r="D13" s="9" t="s">
        <v>58</v>
      </c>
      <c r="E13" s="9" t="s">
        <v>59</v>
      </c>
      <c r="F13" s="9" t="s">
        <v>57</v>
      </c>
      <c r="G13" s="9">
        <v>1.4</v>
      </c>
      <c r="H13" s="9">
        <v>1.4</v>
      </c>
      <c r="I13" s="9">
        <v>1.1000000000000001</v>
      </c>
      <c r="J13" s="23">
        <f t="shared" ref="J13:J19" si="9">(G13*$I$2)+(H13*$I$3)</f>
        <v>3.5</v>
      </c>
      <c r="K13" s="10">
        <f t="shared" si="2"/>
        <v>1.4</v>
      </c>
      <c r="L13" s="12">
        <f t="shared" si="3"/>
        <v>4.9000000000000004</v>
      </c>
      <c r="M13" s="13">
        <f t="shared" ref="M13:M102" si="10">I13*$M$2</f>
        <v>6.8750000000000009</v>
      </c>
      <c r="N13" s="13">
        <f t="shared" ref="N13:N102" si="11">I13*$M$3</f>
        <v>1.6500000000000001</v>
      </c>
      <c r="O13" s="10">
        <v>1</v>
      </c>
      <c r="P13" s="10">
        <v>2</v>
      </c>
      <c r="Q13" s="11" t="s">
        <v>60</v>
      </c>
      <c r="R13" s="10"/>
      <c r="S13" s="10"/>
    </row>
    <row r="14" spans="1:19" ht="20" customHeight="1" x14ac:dyDescent="0.3">
      <c r="A14" s="2">
        <v>6</v>
      </c>
      <c r="B14" s="2">
        <v>8</v>
      </c>
      <c r="C14" s="4" t="s">
        <v>61</v>
      </c>
      <c r="D14" s="4" t="s">
        <v>62</v>
      </c>
      <c r="E14" s="4" t="s">
        <v>63</v>
      </c>
      <c r="F14" s="4" t="s">
        <v>57</v>
      </c>
      <c r="G14" s="4">
        <v>1.4</v>
      </c>
      <c r="H14" s="4">
        <v>1.5</v>
      </c>
      <c r="I14" s="4">
        <v>1.2</v>
      </c>
      <c r="J14" s="23">
        <f t="shared" si="9"/>
        <v>3.55</v>
      </c>
      <c r="K14" s="10">
        <f t="shared" si="2"/>
        <v>1.45</v>
      </c>
      <c r="L14" s="12">
        <f t="shared" si="3"/>
        <v>5</v>
      </c>
      <c r="M14" s="13">
        <f t="shared" si="10"/>
        <v>7.5</v>
      </c>
      <c r="N14" s="13">
        <f t="shared" si="11"/>
        <v>1.7999999999999998</v>
      </c>
      <c r="O14" s="10">
        <v>1</v>
      </c>
      <c r="P14" s="10">
        <v>2</v>
      </c>
      <c r="Q14" s="11" t="s">
        <v>60</v>
      </c>
      <c r="R14" s="10"/>
      <c r="S14" s="10"/>
    </row>
    <row r="15" spans="1:19" ht="20" customHeight="1" x14ac:dyDescent="0.3">
      <c r="C15" s="4"/>
      <c r="D15" s="4" t="s">
        <v>64</v>
      </c>
      <c r="E15" s="4" t="s">
        <v>65</v>
      </c>
      <c r="F15" s="4" t="s">
        <v>57</v>
      </c>
      <c r="G15" s="4">
        <v>1.8</v>
      </c>
      <c r="H15" s="4">
        <v>1.5</v>
      </c>
      <c r="I15" s="4">
        <v>1.2</v>
      </c>
      <c r="J15" s="23">
        <f t="shared" si="9"/>
        <v>4.3499999999999996</v>
      </c>
      <c r="K15" s="10">
        <f t="shared" si="2"/>
        <v>1.65</v>
      </c>
      <c r="L15" s="12">
        <f t="shared" si="3"/>
        <v>6</v>
      </c>
      <c r="M15" s="13">
        <f t="shared" si="10"/>
        <v>7.5</v>
      </c>
      <c r="N15" s="13">
        <f t="shared" si="11"/>
        <v>1.7999999999999998</v>
      </c>
      <c r="O15" s="10">
        <v>1</v>
      </c>
      <c r="P15" s="10">
        <v>2</v>
      </c>
      <c r="Q15" s="11" t="s">
        <v>66</v>
      </c>
      <c r="R15" s="10"/>
      <c r="S15" s="10"/>
    </row>
    <row r="16" spans="1:19" ht="20" customHeight="1" x14ac:dyDescent="0.3">
      <c r="A16" s="2">
        <v>8</v>
      </c>
      <c r="B16" s="2">
        <v>9</v>
      </c>
      <c r="C16" s="9" t="s">
        <v>67</v>
      </c>
      <c r="D16" s="9" t="s">
        <v>68</v>
      </c>
      <c r="E16" s="9" t="s">
        <v>69</v>
      </c>
      <c r="F16" s="9" t="s">
        <v>57</v>
      </c>
      <c r="G16" s="9">
        <v>2</v>
      </c>
      <c r="H16" s="9">
        <v>2</v>
      </c>
      <c r="I16" s="9">
        <v>1.3</v>
      </c>
      <c r="J16" s="23">
        <f t="shared" si="9"/>
        <v>5</v>
      </c>
      <c r="K16" s="10">
        <f t="shared" si="2"/>
        <v>2</v>
      </c>
      <c r="L16" s="12">
        <f t="shared" si="3"/>
        <v>7</v>
      </c>
      <c r="M16" s="13">
        <f t="shared" si="10"/>
        <v>8.125</v>
      </c>
      <c r="N16" s="13">
        <f t="shared" si="11"/>
        <v>1.9500000000000002</v>
      </c>
      <c r="O16" s="10">
        <v>1</v>
      </c>
      <c r="P16" s="10">
        <v>3</v>
      </c>
      <c r="Q16" s="11" t="s">
        <v>70</v>
      </c>
      <c r="R16" s="10"/>
      <c r="S16" s="10"/>
    </row>
    <row r="17" spans="1:19" ht="20" customHeight="1" x14ac:dyDescent="0.3">
      <c r="C17" s="9"/>
      <c r="D17" s="25" t="s">
        <v>71</v>
      </c>
      <c r="E17" s="9" t="s">
        <v>72</v>
      </c>
      <c r="F17" s="9" t="s">
        <v>57</v>
      </c>
      <c r="G17" s="9">
        <v>2.2999999999999998</v>
      </c>
      <c r="H17" s="9">
        <v>2.2000000000000002</v>
      </c>
      <c r="I17" s="9">
        <v>1.4</v>
      </c>
      <c r="J17" s="23">
        <f t="shared" si="9"/>
        <v>5.6999999999999993</v>
      </c>
      <c r="K17" s="10">
        <f t="shared" si="2"/>
        <v>2.25</v>
      </c>
      <c r="L17" s="12">
        <f t="shared" si="3"/>
        <v>7.9499999999999993</v>
      </c>
      <c r="M17" s="13">
        <f t="shared" si="10"/>
        <v>8.75</v>
      </c>
      <c r="N17" s="13">
        <f t="shared" si="11"/>
        <v>2.0999999999999996</v>
      </c>
      <c r="O17" s="10">
        <v>1</v>
      </c>
      <c r="P17" s="10">
        <v>3</v>
      </c>
      <c r="Q17" s="11" t="s">
        <v>60</v>
      </c>
      <c r="R17" s="10"/>
      <c r="S17" s="10"/>
    </row>
    <row r="18" spans="1:19" ht="20" customHeight="1" x14ac:dyDescent="0.3">
      <c r="A18" s="2">
        <v>9</v>
      </c>
      <c r="B18" s="2">
        <v>10</v>
      </c>
      <c r="C18" s="4" t="s">
        <v>73</v>
      </c>
      <c r="D18" s="4" t="s">
        <v>74</v>
      </c>
      <c r="E18" s="4" t="s">
        <v>75</v>
      </c>
      <c r="F18" s="4" t="s">
        <v>57</v>
      </c>
      <c r="G18" s="4">
        <v>2.6</v>
      </c>
      <c r="H18" s="4">
        <v>2.5</v>
      </c>
      <c r="I18" s="4">
        <v>1.6</v>
      </c>
      <c r="J18" s="23">
        <f t="shared" si="9"/>
        <v>6.45</v>
      </c>
      <c r="K18" s="10">
        <f t="shared" si="2"/>
        <v>2.5499999999999998</v>
      </c>
      <c r="L18" s="12">
        <f t="shared" si="3"/>
        <v>9</v>
      </c>
      <c r="M18" s="13">
        <f t="shared" si="10"/>
        <v>10</v>
      </c>
      <c r="N18" s="13">
        <f t="shared" si="11"/>
        <v>2.4000000000000004</v>
      </c>
      <c r="O18" s="10">
        <v>1</v>
      </c>
      <c r="P18" s="10">
        <v>3</v>
      </c>
      <c r="Q18" s="11" t="s">
        <v>76</v>
      </c>
      <c r="R18" s="10"/>
      <c r="S18" s="10"/>
    </row>
    <row r="19" spans="1:19" ht="20" customHeight="1" x14ac:dyDescent="0.3">
      <c r="A19" s="2">
        <v>4</v>
      </c>
      <c r="B19" s="2">
        <v>6</v>
      </c>
      <c r="C19" s="9" t="s">
        <v>77</v>
      </c>
      <c r="D19" s="9"/>
      <c r="E19" s="9" t="s">
        <v>78</v>
      </c>
      <c r="F19" s="9" t="s">
        <v>57</v>
      </c>
      <c r="G19" s="15">
        <v>0.8</v>
      </c>
      <c r="H19" s="15">
        <v>0.9</v>
      </c>
      <c r="I19" s="15">
        <v>0.8</v>
      </c>
      <c r="J19" s="23">
        <f t="shared" si="9"/>
        <v>2.0500000000000003</v>
      </c>
      <c r="K19" s="10">
        <f t="shared" si="2"/>
        <v>0.85000000000000009</v>
      </c>
      <c r="L19" s="12">
        <f t="shared" si="3"/>
        <v>2.9000000000000004</v>
      </c>
      <c r="M19" s="13">
        <f t="shared" si="10"/>
        <v>5</v>
      </c>
      <c r="N19" s="13">
        <f t="shared" si="11"/>
        <v>1.2000000000000002</v>
      </c>
      <c r="O19" s="10">
        <v>1</v>
      </c>
      <c r="P19" s="10">
        <v>3</v>
      </c>
      <c r="Q19" s="11" t="s">
        <v>79</v>
      </c>
      <c r="R19" s="10"/>
      <c r="S19" s="10"/>
    </row>
    <row r="20" spans="1:19" ht="20" customHeight="1" x14ac:dyDescent="0.3">
      <c r="C20" s="9"/>
      <c r="D20" s="9"/>
      <c r="E20" s="9" t="s">
        <v>80</v>
      </c>
      <c r="F20" s="9" t="s">
        <v>57</v>
      </c>
      <c r="G20" s="15">
        <v>1.1000000000000001</v>
      </c>
      <c r="H20" s="15">
        <v>1.1000000000000001</v>
      </c>
      <c r="I20" s="15">
        <v>0.9</v>
      </c>
      <c r="J20" s="23">
        <f t="shared" ref="J20:J110" si="12">(G20*$I$2)+(H20*$I$3)</f>
        <v>2.75</v>
      </c>
      <c r="K20" s="10">
        <f t="shared" si="2"/>
        <v>1.1000000000000001</v>
      </c>
      <c r="L20" s="12">
        <f t="shared" si="3"/>
        <v>3.85</v>
      </c>
      <c r="M20" s="13">
        <f t="shared" si="10"/>
        <v>5.625</v>
      </c>
      <c r="N20" s="13">
        <f t="shared" si="11"/>
        <v>1.35</v>
      </c>
      <c r="O20" s="10">
        <v>1</v>
      </c>
      <c r="P20" s="10">
        <v>3</v>
      </c>
      <c r="Q20" s="11" t="s">
        <v>81</v>
      </c>
      <c r="R20" s="10"/>
      <c r="S20" s="10"/>
    </row>
    <row r="21" spans="1:19" ht="20" customHeight="1" x14ac:dyDescent="0.3">
      <c r="A21" s="2">
        <v>5</v>
      </c>
      <c r="B21" s="2">
        <v>7</v>
      </c>
      <c r="C21" s="4" t="s">
        <v>82</v>
      </c>
      <c r="D21" s="4"/>
      <c r="E21" s="4" t="s">
        <v>83</v>
      </c>
      <c r="F21" s="4" t="s">
        <v>57</v>
      </c>
      <c r="G21" s="16">
        <v>1.6</v>
      </c>
      <c r="H21" s="16">
        <v>1.4</v>
      </c>
      <c r="I21" s="16">
        <v>1.2</v>
      </c>
      <c r="J21" s="23">
        <f t="shared" si="12"/>
        <v>3.9000000000000004</v>
      </c>
      <c r="K21" s="10">
        <f t="shared" si="2"/>
        <v>1.5</v>
      </c>
      <c r="L21" s="12">
        <f t="shared" si="3"/>
        <v>5.4</v>
      </c>
      <c r="M21" s="13">
        <f t="shared" si="10"/>
        <v>7.5</v>
      </c>
      <c r="N21" s="13">
        <f t="shared" si="11"/>
        <v>1.7999999999999998</v>
      </c>
      <c r="O21" s="10">
        <v>1</v>
      </c>
      <c r="P21" s="10">
        <v>2</v>
      </c>
      <c r="Q21" s="11" t="s">
        <v>60</v>
      </c>
      <c r="R21" s="10"/>
      <c r="S21" s="10"/>
    </row>
    <row r="22" spans="1:19" ht="20" customHeight="1" x14ac:dyDescent="0.3">
      <c r="C22" s="4"/>
      <c r="D22" s="4"/>
      <c r="E22" s="4" t="s">
        <v>84</v>
      </c>
      <c r="F22" s="4" t="s">
        <v>57</v>
      </c>
      <c r="G22" s="16">
        <v>1.3</v>
      </c>
      <c r="H22" s="16">
        <v>1.2</v>
      </c>
      <c r="I22" s="16">
        <v>0.9</v>
      </c>
      <c r="J22" s="23">
        <f t="shared" si="12"/>
        <v>3.2</v>
      </c>
      <c r="K22" s="10">
        <f t="shared" si="2"/>
        <v>1.25</v>
      </c>
      <c r="L22" s="12">
        <f t="shared" si="3"/>
        <v>4.45</v>
      </c>
      <c r="M22" s="13">
        <f t="shared" si="10"/>
        <v>5.625</v>
      </c>
      <c r="N22" s="13">
        <f t="shared" si="11"/>
        <v>1.35</v>
      </c>
      <c r="O22" s="10">
        <v>1</v>
      </c>
      <c r="P22" s="10">
        <v>2</v>
      </c>
      <c r="Q22" s="11" t="s">
        <v>85</v>
      </c>
      <c r="R22" s="10"/>
      <c r="S22" s="10"/>
    </row>
    <row r="23" spans="1:19" ht="20" customHeight="1" x14ac:dyDescent="0.3">
      <c r="C23" s="4"/>
      <c r="D23" s="4"/>
      <c r="E23" s="4" t="s">
        <v>86</v>
      </c>
      <c r="F23" s="4" t="s">
        <v>57</v>
      </c>
      <c r="G23" s="16">
        <v>1.2</v>
      </c>
      <c r="H23" s="16">
        <v>1.3</v>
      </c>
      <c r="I23" s="16">
        <v>0.8</v>
      </c>
      <c r="J23" s="23">
        <f t="shared" si="12"/>
        <v>3.05</v>
      </c>
      <c r="K23" s="10">
        <f t="shared" si="2"/>
        <v>1.25</v>
      </c>
      <c r="L23" s="12">
        <f t="shared" si="3"/>
        <v>4.3</v>
      </c>
      <c r="M23" s="13">
        <f t="shared" si="10"/>
        <v>5</v>
      </c>
      <c r="N23" s="13">
        <f t="shared" si="11"/>
        <v>1.2000000000000002</v>
      </c>
      <c r="O23" s="10">
        <v>1</v>
      </c>
      <c r="P23" s="10">
        <v>2</v>
      </c>
      <c r="Q23" s="11" t="s">
        <v>87</v>
      </c>
      <c r="R23" s="10"/>
      <c r="S23" s="10"/>
    </row>
    <row r="24" spans="1:19" ht="20" customHeight="1" x14ac:dyDescent="0.3">
      <c r="A24" s="2">
        <v>6</v>
      </c>
      <c r="B24" s="2">
        <v>8</v>
      </c>
      <c r="C24" s="9" t="s">
        <v>88</v>
      </c>
      <c r="D24" s="9"/>
      <c r="E24" s="9" t="s">
        <v>89</v>
      </c>
      <c r="F24" s="9" t="s">
        <v>57</v>
      </c>
      <c r="G24" s="24">
        <v>1.5</v>
      </c>
      <c r="H24" s="15">
        <v>1.5</v>
      </c>
      <c r="I24" s="15">
        <v>1</v>
      </c>
      <c r="J24" s="23">
        <f t="shared" si="12"/>
        <v>3.75</v>
      </c>
      <c r="K24" s="10">
        <f t="shared" si="2"/>
        <v>1.5</v>
      </c>
      <c r="L24" s="12">
        <f t="shared" si="3"/>
        <v>5.25</v>
      </c>
      <c r="M24" s="13">
        <f t="shared" si="10"/>
        <v>6.25</v>
      </c>
      <c r="N24" s="13">
        <f t="shared" si="11"/>
        <v>1.5</v>
      </c>
      <c r="O24" s="10">
        <v>0</v>
      </c>
      <c r="P24" s="10">
        <v>2</v>
      </c>
      <c r="Q24" s="11" t="s">
        <v>90</v>
      </c>
      <c r="R24" s="11" t="s">
        <v>91</v>
      </c>
      <c r="S24" s="10"/>
    </row>
    <row r="25" spans="1:19" ht="20" customHeight="1" x14ac:dyDescent="0.3">
      <c r="C25" s="9"/>
      <c r="D25" s="9"/>
      <c r="E25" s="9" t="s">
        <v>92</v>
      </c>
      <c r="F25" s="9" t="s">
        <v>57</v>
      </c>
      <c r="G25" s="15">
        <v>1.6</v>
      </c>
      <c r="H25" s="15">
        <v>1.6</v>
      </c>
      <c r="I25" s="15">
        <v>1.1000000000000001</v>
      </c>
      <c r="J25" s="23">
        <f t="shared" si="12"/>
        <v>4</v>
      </c>
      <c r="K25" s="10">
        <f t="shared" si="2"/>
        <v>1.6</v>
      </c>
      <c r="L25" s="12">
        <f t="shared" si="3"/>
        <v>5.6</v>
      </c>
      <c r="M25" s="13">
        <f t="shared" si="10"/>
        <v>6.8750000000000009</v>
      </c>
      <c r="N25" s="13">
        <f t="shared" si="11"/>
        <v>1.6500000000000001</v>
      </c>
      <c r="O25" s="10">
        <v>1</v>
      </c>
      <c r="P25" s="10">
        <v>2</v>
      </c>
      <c r="Q25" s="11" t="s">
        <v>93</v>
      </c>
      <c r="R25" s="10"/>
      <c r="S25" s="10"/>
    </row>
    <row r="26" spans="1:19" ht="20" customHeight="1" x14ac:dyDescent="0.3">
      <c r="C26" s="9"/>
      <c r="D26" s="9"/>
      <c r="E26" s="9" t="s">
        <v>94</v>
      </c>
      <c r="F26" s="14" t="s">
        <v>57</v>
      </c>
      <c r="G26" s="15">
        <v>1.8</v>
      </c>
      <c r="H26" s="15">
        <v>1.5</v>
      </c>
      <c r="I26" s="15">
        <v>1.2</v>
      </c>
      <c r="J26" s="23">
        <f t="shared" si="12"/>
        <v>4.3499999999999996</v>
      </c>
      <c r="K26" s="10">
        <f t="shared" si="2"/>
        <v>1.65</v>
      </c>
      <c r="L26" s="12">
        <f t="shared" si="3"/>
        <v>6</v>
      </c>
      <c r="M26" s="13">
        <f t="shared" si="10"/>
        <v>7.5</v>
      </c>
      <c r="N26" s="13">
        <f t="shared" si="11"/>
        <v>1.7999999999999998</v>
      </c>
      <c r="O26" s="10">
        <v>1</v>
      </c>
      <c r="P26" s="10">
        <v>3</v>
      </c>
      <c r="Q26" s="11" t="s">
        <v>95</v>
      </c>
      <c r="R26" s="10"/>
      <c r="S26" s="10"/>
    </row>
    <row r="27" spans="1:19" ht="20" customHeight="1" x14ac:dyDescent="0.3">
      <c r="A27" s="2">
        <v>8</v>
      </c>
      <c r="B27" s="2">
        <v>9</v>
      </c>
      <c r="C27" s="4" t="s">
        <v>96</v>
      </c>
      <c r="D27" s="4"/>
      <c r="E27" s="4" t="s">
        <v>97</v>
      </c>
      <c r="F27" s="4" t="s">
        <v>57</v>
      </c>
      <c r="G27" s="16">
        <v>2</v>
      </c>
      <c r="H27" s="16">
        <v>2</v>
      </c>
      <c r="I27" s="16">
        <v>1.2</v>
      </c>
      <c r="J27" s="23">
        <f t="shared" si="12"/>
        <v>5</v>
      </c>
      <c r="K27" s="10">
        <f t="shared" si="2"/>
        <v>2</v>
      </c>
      <c r="L27" s="12">
        <f t="shared" si="3"/>
        <v>7</v>
      </c>
      <c r="M27" s="13">
        <f t="shared" ref="M27:M55" si="13">I27*$M$2</f>
        <v>7.5</v>
      </c>
      <c r="N27" s="13">
        <f t="shared" ref="N27:N55" si="14">I27*$M$3</f>
        <v>1.7999999999999998</v>
      </c>
      <c r="O27" s="10">
        <v>1</v>
      </c>
      <c r="P27" s="10">
        <v>3</v>
      </c>
      <c r="Q27" s="11" t="s">
        <v>95</v>
      </c>
      <c r="R27" s="10"/>
      <c r="S27" s="10"/>
    </row>
    <row r="28" spans="1:19" ht="20" customHeight="1" x14ac:dyDescent="0.3">
      <c r="C28" s="4"/>
      <c r="D28" s="4"/>
      <c r="E28" s="17" t="s">
        <v>98</v>
      </c>
      <c r="F28" s="4" t="s">
        <v>57</v>
      </c>
      <c r="G28" s="16">
        <v>2.1</v>
      </c>
      <c r="H28" s="16">
        <v>2.1</v>
      </c>
      <c r="I28" s="16">
        <v>1.3</v>
      </c>
      <c r="J28" s="23">
        <f t="shared" si="12"/>
        <v>5.25</v>
      </c>
      <c r="K28" s="10">
        <f t="shared" si="2"/>
        <v>2.1</v>
      </c>
      <c r="L28" s="12">
        <f t="shared" si="3"/>
        <v>7.35</v>
      </c>
      <c r="M28" s="13">
        <f t="shared" si="13"/>
        <v>8.125</v>
      </c>
      <c r="N28" s="13">
        <f t="shared" si="14"/>
        <v>1.9500000000000002</v>
      </c>
      <c r="O28" s="10">
        <v>1</v>
      </c>
      <c r="P28" s="10">
        <v>4</v>
      </c>
      <c r="Q28" s="11" t="s">
        <v>93</v>
      </c>
      <c r="R28" s="10"/>
      <c r="S28" s="10"/>
    </row>
    <row r="29" spans="1:19" ht="20" customHeight="1" x14ac:dyDescent="0.3">
      <c r="C29" s="4"/>
      <c r="D29" s="4"/>
      <c r="E29" s="17" t="s">
        <v>99</v>
      </c>
      <c r="F29" s="4" t="s">
        <v>57</v>
      </c>
      <c r="G29" s="16">
        <v>2.2999999999999998</v>
      </c>
      <c r="H29" s="16">
        <v>2.2000000000000002</v>
      </c>
      <c r="I29" s="16">
        <v>1.4</v>
      </c>
      <c r="J29" s="23">
        <f t="shared" si="12"/>
        <v>5.6999999999999993</v>
      </c>
      <c r="K29" s="10">
        <f t="shared" si="2"/>
        <v>2.25</v>
      </c>
      <c r="L29" s="12">
        <f t="shared" si="3"/>
        <v>7.9499999999999993</v>
      </c>
      <c r="M29" s="13">
        <f t="shared" si="13"/>
        <v>8.75</v>
      </c>
      <c r="N29" s="13">
        <f t="shared" si="14"/>
        <v>2.0999999999999996</v>
      </c>
      <c r="O29" s="10">
        <v>2</v>
      </c>
      <c r="P29" s="10">
        <v>4</v>
      </c>
      <c r="Q29" s="11" t="s">
        <v>100</v>
      </c>
      <c r="R29" s="10"/>
      <c r="S29" s="10"/>
    </row>
    <row r="30" spans="1:19" ht="20" customHeight="1" x14ac:dyDescent="0.3">
      <c r="A30" s="2">
        <v>9</v>
      </c>
      <c r="B30" s="2">
        <v>10</v>
      </c>
      <c r="C30" s="9" t="s">
        <v>101</v>
      </c>
      <c r="D30" s="9"/>
      <c r="E30" s="9" t="s">
        <v>102</v>
      </c>
      <c r="F30" s="9" t="s">
        <v>57</v>
      </c>
      <c r="G30" s="15">
        <v>2.5</v>
      </c>
      <c r="H30" s="15">
        <v>2.5</v>
      </c>
      <c r="I30" s="15">
        <v>1.5</v>
      </c>
      <c r="J30" s="23">
        <f t="shared" si="12"/>
        <v>6.25</v>
      </c>
      <c r="K30" s="10">
        <f t="shared" si="2"/>
        <v>2.5</v>
      </c>
      <c r="L30" s="12">
        <f t="shared" si="3"/>
        <v>8.75</v>
      </c>
      <c r="M30" s="13">
        <f t="shared" si="13"/>
        <v>9.375</v>
      </c>
      <c r="N30" s="13">
        <f t="shared" si="14"/>
        <v>2.25</v>
      </c>
      <c r="O30" s="10">
        <v>2</v>
      </c>
      <c r="P30" s="10">
        <v>4</v>
      </c>
      <c r="Q30" s="11" t="s">
        <v>103</v>
      </c>
      <c r="R30" s="10"/>
      <c r="S30" s="10"/>
    </row>
    <row r="31" spans="1:19" ht="20" customHeight="1" x14ac:dyDescent="0.3">
      <c r="C31" s="9"/>
      <c r="D31" s="9"/>
      <c r="E31" s="9" t="s">
        <v>104</v>
      </c>
      <c r="F31" s="9" t="s">
        <v>57</v>
      </c>
      <c r="G31" s="15">
        <v>2.6</v>
      </c>
      <c r="H31" s="15">
        <v>2.4</v>
      </c>
      <c r="I31" s="15">
        <v>1.6</v>
      </c>
      <c r="J31" s="23">
        <f t="shared" si="12"/>
        <v>6.4</v>
      </c>
      <c r="K31" s="10">
        <f t="shared" si="2"/>
        <v>2.5</v>
      </c>
      <c r="L31" s="12">
        <f t="shared" si="3"/>
        <v>8.9</v>
      </c>
      <c r="M31" s="13">
        <f t="shared" si="13"/>
        <v>10</v>
      </c>
      <c r="N31" s="13">
        <f t="shared" si="14"/>
        <v>2.4000000000000004</v>
      </c>
      <c r="O31" s="10">
        <v>2</v>
      </c>
      <c r="P31" s="10">
        <v>4</v>
      </c>
      <c r="Q31" s="11" t="s">
        <v>90</v>
      </c>
      <c r="R31" s="10"/>
      <c r="S31" s="10"/>
    </row>
    <row r="32" spans="1:19" ht="20" customHeight="1" x14ac:dyDescent="0.3">
      <c r="A32" s="2">
        <v>8</v>
      </c>
      <c r="B32" s="2">
        <v>12</v>
      </c>
      <c r="C32" s="4" t="s">
        <v>105</v>
      </c>
      <c r="D32" s="4" t="s">
        <v>106</v>
      </c>
      <c r="E32" s="4" t="s">
        <v>107</v>
      </c>
      <c r="F32" s="4" t="s">
        <v>57</v>
      </c>
      <c r="G32" s="16">
        <v>2.2999999999999998</v>
      </c>
      <c r="H32" s="16">
        <v>2.2000000000000002</v>
      </c>
      <c r="I32" s="16">
        <v>1.8</v>
      </c>
      <c r="J32" s="23">
        <f t="shared" si="12"/>
        <v>5.6999999999999993</v>
      </c>
      <c r="K32" s="10">
        <f t="shared" si="2"/>
        <v>2.25</v>
      </c>
      <c r="L32" s="12">
        <f t="shared" si="3"/>
        <v>7.9499999999999993</v>
      </c>
      <c r="M32" s="13">
        <f t="shared" si="13"/>
        <v>11.25</v>
      </c>
      <c r="N32" s="13">
        <f t="shared" si="14"/>
        <v>2.7</v>
      </c>
      <c r="O32" s="10">
        <v>3</v>
      </c>
      <c r="P32" s="10">
        <v>4</v>
      </c>
      <c r="Q32" s="10" t="s">
        <v>108</v>
      </c>
      <c r="R32" s="10"/>
      <c r="S32" s="10"/>
    </row>
    <row r="33" spans="1:20" ht="20" customHeight="1" x14ac:dyDescent="0.3">
      <c r="C33" s="4"/>
      <c r="D33" s="17" t="s">
        <v>109</v>
      </c>
      <c r="E33" s="4" t="s">
        <v>110</v>
      </c>
      <c r="F33" s="4" t="s">
        <v>57</v>
      </c>
      <c r="G33" s="16">
        <v>2.2000000000000002</v>
      </c>
      <c r="H33" s="16">
        <v>2.2000000000000002</v>
      </c>
      <c r="I33" s="16">
        <v>1.9</v>
      </c>
      <c r="J33" s="23">
        <f t="shared" si="12"/>
        <v>5.5</v>
      </c>
      <c r="K33" s="10">
        <f t="shared" si="2"/>
        <v>2.2000000000000002</v>
      </c>
      <c r="L33" s="12">
        <f t="shared" si="3"/>
        <v>7.7</v>
      </c>
      <c r="M33" s="13">
        <f t="shared" si="13"/>
        <v>11.875</v>
      </c>
      <c r="N33" s="13">
        <f t="shared" si="14"/>
        <v>2.8499999999999996</v>
      </c>
      <c r="O33" s="10">
        <v>2</v>
      </c>
      <c r="P33" s="10">
        <v>4</v>
      </c>
      <c r="Q33" s="11" t="s">
        <v>111</v>
      </c>
      <c r="R33" s="10"/>
      <c r="S33" s="10"/>
    </row>
    <row r="34" spans="1:20" ht="20" customHeight="1" x14ac:dyDescent="0.3">
      <c r="C34" s="4"/>
      <c r="D34" s="17" t="s">
        <v>112</v>
      </c>
      <c r="E34" s="4" t="s">
        <v>113</v>
      </c>
      <c r="F34" s="4" t="s">
        <v>57</v>
      </c>
      <c r="G34" s="16">
        <v>2.2000000000000002</v>
      </c>
      <c r="H34" s="16">
        <v>2.2999999999999998</v>
      </c>
      <c r="I34" s="16">
        <v>1.8</v>
      </c>
      <c r="J34" s="23">
        <f t="shared" si="12"/>
        <v>5.5500000000000007</v>
      </c>
      <c r="K34" s="10">
        <f t="shared" si="2"/>
        <v>2.25</v>
      </c>
      <c r="L34" s="12">
        <f t="shared" si="3"/>
        <v>7.8000000000000007</v>
      </c>
      <c r="M34" s="13">
        <f t="shared" si="13"/>
        <v>11.25</v>
      </c>
      <c r="N34" s="13">
        <f t="shared" si="14"/>
        <v>2.7</v>
      </c>
      <c r="O34" s="10">
        <v>2</v>
      </c>
      <c r="P34" s="10">
        <v>5</v>
      </c>
      <c r="Q34" s="11" t="s">
        <v>60</v>
      </c>
      <c r="R34" s="10"/>
      <c r="S34" s="10"/>
    </row>
    <row r="35" spans="1:20" ht="20" customHeight="1" x14ac:dyDescent="0.3">
      <c r="A35" s="2">
        <v>9</v>
      </c>
      <c r="B35" s="2">
        <v>12.5</v>
      </c>
      <c r="C35" s="9" t="s">
        <v>114</v>
      </c>
      <c r="D35" s="9" t="s">
        <v>115</v>
      </c>
      <c r="E35" s="9" t="s">
        <v>116</v>
      </c>
      <c r="F35" s="9" t="s">
        <v>57</v>
      </c>
      <c r="G35" s="15">
        <v>2.2999999999999998</v>
      </c>
      <c r="H35" s="15">
        <v>2.2999999999999998</v>
      </c>
      <c r="I35" s="15">
        <v>1.8</v>
      </c>
      <c r="J35" s="23">
        <f t="shared" si="12"/>
        <v>5.75</v>
      </c>
      <c r="K35" s="10">
        <f t="shared" si="2"/>
        <v>2.2999999999999998</v>
      </c>
      <c r="L35" s="12">
        <f t="shared" si="3"/>
        <v>8.0500000000000007</v>
      </c>
      <c r="M35" s="13">
        <f t="shared" si="13"/>
        <v>11.25</v>
      </c>
      <c r="N35" s="13">
        <f t="shared" si="14"/>
        <v>2.7</v>
      </c>
      <c r="O35" s="10">
        <v>3</v>
      </c>
      <c r="P35" s="10">
        <v>5</v>
      </c>
      <c r="Q35" s="11" t="s">
        <v>117</v>
      </c>
      <c r="R35" s="10"/>
      <c r="S35" s="10"/>
    </row>
    <row r="36" spans="1:20" ht="20" customHeight="1" x14ac:dyDescent="0.3">
      <c r="C36" s="9"/>
      <c r="D36" s="9" t="s">
        <v>118</v>
      </c>
      <c r="E36" s="9" t="s">
        <v>119</v>
      </c>
      <c r="F36" s="9" t="s">
        <v>53</v>
      </c>
      <c r="G36" s="15">
        <v>2.4</v>
      </c>
      <c r="H36" s="15">
        <v>2.4</v>
      </c>
      <c r="I36" s="15">
        <v>1.9</v>
      </c>
      <c r="J36" s="23">
        <f t="shared" si="12"/>
        <v>6</v>
      </c>
      <c r="K36" s="10">
        <f t="shared" si="2"/>
        <v>2.4</v>
      </c>
      <c r="L36" s="12">
        <f t="shared" si="3"/>
        <v>8.4</v>
      </c>
      <c r="M36" s="13">
        <f t="shared" si="13"/>
        <v>11.875</v>
      </c>
      <c r="N36" s="13">
        <f t="shared" si="14"/>
        <v>2.8499999999999996</v>
      </c>
      <c r="O36" s="10">
        <v>2</v>
      </c>
      <c r="P36" s="10">
        <v>4</v>
      </c>
      <c r="Q36" s="11" t="s">
        <v>120</v>
      </c>
      <c r="R36" s="10"/>
      <c r="S36" s="10"/>
    </row>
    <row r="37" spans="1:20" ht="20" customHeight="1" x14ac:dyDescent="0.3">
      <c r="C37" s="9"/>
      <c r="D37" s="9" t="s">
        <v>121</v>
      </c>
      <c r="E37" s="9" t="s">
        <v>122</v>
      </c>
      <c r="F37" s="9" t="s">
        <v>57</v>
      </c>
      <c r="G37" s="15">
        <v>2.5</v>
      </c>
      <c r="H37" s="15">
        <v>2.5</v>
      </c>
      <c r="I37" s="24">
        <v>2</v>
      </c>
      <c r="J37" s="23">
        <f t="shared" si="12"/>
        <v>6.25</v>
      </c>
      <c r="K37" s="10">
        <f t="shared" si="2"/>
        <v>2.5</v>
      </c>
      <c r="L37" s="12">
        <f t="shared" si="3"/>
        <v>8.75</v>
      </c>
      <c r="M37" s="13">
        <f t="shared" si="13"/>
        <v>12.5</v>
      </c>
      <c r="N37" s="13">
        <f t="shared" si="14"/>
        <v>3</v>
      </c>
      <c r="O37" s="10">
        <v>2</v>
      </c>
      <c r="P37" s="10">
        <v>4</v>
      </c>
      <c r="Q37" s="11" t="s">
        <v>123</v>
      </c>
      <c r="R37" s="10"/>
      <c r="S37" s="10"/>
    </row>
    <row r="38" spans="1:20" ht="20" customHeight="1" x14ac:dyDescent="0.3">
      <c r="A38" s="2">
        <v>10</v>
      </c>
      <c r="B38" s="2">
        <v>13</v>
      </c>
      <c r="C38" s="17" t="s">
        <v>124</v>
      </c>
      <c r="D38" s="4" t="s">
        <v>125</v>
      </c>
      <c r="E38" s="4" t="s">
        <v>126</v>
      </c>
      <c r="F38" s="4" t="s">
        <v>53</v>
      </c>
      <c r="G38" s="16">
        <v>2.8</v>
      </c>
      <c r="H38" s="16">
        <v>2.8</v>
      </c>
      <c r="I38" s="16">
        <v>2</v>
      </c>
      <c r="J38" s="23">
        <f t="shared" si="12"/>
        <v>7</v>
      </c>
      <c r="K38" s="10">
        <f t="shared" si="2"/>
        <v>2.8</v>
      </c>
      <c r="L38" s="12">
        <f t="shared" si="3"/>
        <v>9.8000000000000007</v>
      </c>
      <c r="M38" s="13">
        <f t="shared" si="13"/>
        <v>12.5</v>
      </c>
      <c r="N38" s="13">
        <f t="shared" si="14"/>
        <v>3</v>
      </c>
      <c r="O38" s="10">
        <v>3</v>
      </c>
      <c r="P38" s="10">
        <v>4</v>
      </c>
      <c r="Q38" s="11" t="s">
        <v>81</v>
      </c>
      <c r="R38" s="10"/>
      <c r="S38" s="10"/>
    </row>
    <row r="39" spans="1:20" ht="20" customHeight="1" x14ac:dyDescent="0.3">
      <c r="C39" s="4"/>
      <c r="D39" s="4" t="s">
        <v>127</v>
      </c>
      <c r="E39" s="17" t="s">
        <v>128</v>
      </c>
      <c r="F39" s="4" t="s">
        <v>57</v>
      </c>
      <c r="G39" s="16">
        <v>2.8</v>
      </c>
      <c r="H39" s="16">
        <v>2.9</v>
      </c>
      <c r="I39" s="16">
        <v>2</v>
      </c>
      <c r="J39" s="23">
        <f t="shared" si="12"/>
        <v>7.05</v>
      </c>
      <c r="K39" s="10">
        <f t="shared" si="2"/>
        <v>2.8499999999999996</v>
      </c>
      <c r="L39" s="12">
        <f t="shared" si="3"/>
        <v>9.8999999999999986</v>
      </c>
      <c r="M39" s="13">
        <f t="shared" si="13"/>
        <v>12.5</v>
      </c>
      <c r="N39" s="13">
        <f t="shared" si="14"/>
        <v>3</v>
      </c>
      <c r="O39" s="10">
        <v>2</v>
      </c>
      <c r="P39" s="10">
        <v>4</v>
      </c>
      <c r="Q39" s="11" t="s">
        <v>129</v>
      </c>
      <c r="R39" s="10"/>
      <c r="S39" s="10"/>
    </row>
    <row r="40" spans="1:20" ht="20" customHeight="1" x14ac:dyDescent="0.3">
      <c r="C40" s="4"/>
      <c r="D40" s="17" t="s">
        <v>130</v>
      </c>
      <c r="E40" s="17" t="s">
        <v>131</v>
      </c>
      <c r="F40" s="17" t="s">
        <v>57</v>
      </c>
      <c r="G40" s="16">
        <v>3</v>
      </c>
      <c r="H40" s="16">
        <v>2.5</v>
      </c>
      <c r="I40" s="16">
        <v>2.1</v>
      </c>
      <c r="J40" s="23">
        <f t="shared" ref="J40" si="15">(G40*$I$2)+(H40*$I$3)</f>
        <v>7.25</v>
      </c>
      <c r="K40" s="10">
        <f t="shared" ref="K40" si="16">(G40*$I$5)+(H40*$I$6)+(I40*$I$7)</f>
        <v>2.75</v>
      </c>
      <c r="L40" s="12">
        <f t="shared" ref="L40" si="17">J40+K40</f>
        <v>10</v>
      </c>
      <c r="M40" s="13">
        <f t="shared" ref="M40" si="18">I40*$M$2</f>
        <v>13.125</v>
      </c>
      <c r="N40" s="13">
        <f t="shared" ref="N40" si="19">I40*$M$3</f>
        <v>3.1500000000000004</v>
      </c>
      <c r="O40" s="10">
        <v>4</v>
      </c>
      <c r="P40" s="10">
        <v>4</v>
      </c>
      <c r="Q40" s="11" t="s">
        <v>60</v>
      </c>
      <c r="R40" s="10"/>
      <c r="S40" s="10"/>
    </row>
    <row r="41" spans="1:20" ht="20" customHeight="1" x14ac:dyDescent="0.3">
      <c r="A41" s="2">
        <v>11</v>
      </c>
      <c r="B41" s="2">
        <v>13.5</v>
      </c>
      <c r="C41" s="9" t="s">
        <v>132</v>
      </c>
      <c r="D41" s="9" t="s">
        <v>133</v>
      </c>
      <c r="E41" s="9" t="s">
        <v>134</v>
      </c>
      <c r="F41" s="9" t="s">
        <v>57</v>
      </c>
      <c r="G41" s="15">
        <v>3</v>
      </c>
      <c r="H41" s="15">
        <v>3</v>
      </c>
      <c r="I41" s="15">
        <v>2</v>
      </c>
      <c r="J41" s="23">
        <f t="shared" si="12"/>
        <v>7.5</v>
      </c>
      <c r="K41" s="10">
        <f t="shared" si="2"/>
        <v>3</v>
      </c>
      <c r="L41" s="12">
        <f t="shared" si="3"/>
        <v>10.5</v>
      </c>
      <c r="M41" s="13">
        <f t="shared" si="13"/>
        <v>12.5</v>
      </c>
      <c r="N41" s="13">
        <f t="shared" si="14"/>
        <v>3</v>
      </c>
      <c r="O41" s="10">
        <v>3</v>
      </c>
      <c r="P41" s="10">
        <v>3</v>
      </c>
      <c r="Q41" s="11" t="s">
        <v>135</v>
      </c>
      <c r="R41" s="10"/>
      <c r="S41" s="10"/>
    </row>
    <row r="42" spans="1:20" ht="20" customHeight="1" x14ac:dyDescent="0.3">
      <c r="C42" s="9"/>
      <c r="D42" s="9" t="s">
        <v>136</v>
      </c>
      <c r="E42" s="14" t="s">
        <v>137</v>
      </c>
      <c r="F42" s="14" t="s">
        <v>53</v>
      </c>
      <c r="G42" s="15">
        <v>3.2</v>
      </c>
      <c r="H42" s="15">
        <v>2.9</v>
      </c>
      <c r="I42" s="15">
        <v>2.1</v>
      </c>
      <c r="J42" s="23">
        <f t="shared" si="12"/>
        <v>7.8500000000000005</v>
      </c>
      <c r="K42" s="10">
        <f t="shared" si="2"/>
        <v>3.05</v>
      </c>
      <c r="L42" s="12">
        <f t="shared" si="3"/>
        <v>10.9</v>
      </c>
      <c r="M42" s="13">
        <f t="shared" si="13"/>
        <v>13.125</v>
      </c>
      <c r="N42" s="13">
        <f t="shared" si="14"/>
        <v>3.1500000000000004</v>
      </c>
      <c r="O42" s="10">
        <v>4</v>
      </c>
      <c r="P42" s="10">
        <v>6</v>
      </c>
      <c r="Q42" s="11" t="s">
        <v>117</v>
      </c>
      <c r="R42" s="10"/>
      <c r="S42" s="10"/>
    </row>
    <row r="43" spans="1:20" ht="20" customHeight="1" x14ac:dyDescent="0.3">
      <c r="A43" s="2">
        <v>13</v>
      </c>
      <c r="B43" s="2">
        <v>14</v>
      </c>
      <c r="C43" s="4" t="s">
        <v>138</v>
      </c>
      <c r="D43" s="17" t="s">
        <v>139</v>
      </c>
      <c r="E43" s="4" t="s">
        <v>140</v>
      </c>
      <c r="F43" s="4" t="s">
        <v>57</v>
      </c>
      <c r="G43" s="16">
        <v>3.3</v>
      </c>
      <c r="H43" s="16">
        <v>3.3</v>
      </c>
      <c r="I43" s="16">
        <v>2.2000000000000002</v>
      </c>
      <c r="J43" s="23">
        <f t="shared" si="12"/>
        <v>8.25</v>
      </c>
      <c r="K43" s="10">
        <f t="shared" si="2"/>
        <v>3.3</v>
      </c>
      <c r="L43" s="12">
        <f t="shared" si="3"/>
        <v>11.55</v>
      </c>
      <c r="M43" s="13">
        <f t="shared" si="13"/>
        <v>13.750000000000002</v>
      </c>
      <c r="N43" s="13">
        <f t="shared" si="14"/>
        <v>3.3000000000000003</v>
      </c>
      <c r="O43" s="10">
        <v>4</v>
      </c>
      <c r="P43" s="10">
        <v>5</v>
      </c>
      <c r="Q43" s="11" t="s">
        <v>85</v>
      </c>
      <c r="R43" s="10"/>
      <c r="S43" s="10"/>
    </row>
    <row r="44" spans="1:20" ht="20" customHeight="1" x14ac:dyDescent="0.3">
      <c r="C44" s="4"/>
      <c r="D44" s="4" t="s">
        <v>141</v>
      </c>
      <c r="E44" s="4" t="s">
        <v>142</v>
      </c>
      <c r="F44" s="4" t="s">
        <v>57</v>
      </c>
      <c r="G44" s="16">
        <v>3.4</v>
      </c>
      <c r="H44" s="16">
        <v>3.4</v>
      </c>
      <c r="I44" s="16">
        <v>2.2000000000000002</v>
      </c>
      <c r="J44" s="23">
        <f t="shared" si="12"/>
        <v>8.5</v>
      </c>
      <c r="K44" s="10">
        <f t="shared" si="2"/>
        <v>3.4</v>
      </c>
      <c r="L44" s="12">
        <f t="shared" si="3"/>
        <v>11.9</v>
      </c>
      <c r="M44" s="13">
        <f t="shared" si="13"/>
        <v>13.750000000000002</v>
      </c>
      <c r="N44" s="13">
        <f t="shared" si="14"/>
        <v>3.3000000000000003</v>
      </c>
      <c r="O44" s="10">
        <v>4</v>
      </c>
      <c r="P44" s="10">
        <v>4</v>
      </c>
      <c r="Q44" s="11" t="s">
        <v>60</v>
      </c>
      <c r="R44" s="10"/>
      <c r="S44" s="10"/>
    </row>
    <row r="45" spans="1:20" ht="20" customHeight="1" x14ac:dyDescent="0.3">
      <c r="C45" s="4"/>
      <c r="D45" s="17" t="s">
        <v>143</v>
      </c>
      <c r="E45" s="17" t="s">
        <v>144</v>
      </c>
      <c r="F45" s="4" t="s">
        <v>57</v>
      </c>
      <c r="G45" s="16">
        <v>3.6</v>
      </c>
      <c r="H45" s="16">
        <v>3.3</v>
      </c>
      <c r="I45" s="16">
        <v>2.2000000000000002</v>
      </c>
      <c r="J45" s="23">
        <f t="shared" si="12"/>
        <v>8.85</v>
      </c>
      <c r="K45" s="10">
        <f t="shared" si="2"/>
        <v>3.45</v>
      </c>
      <c r="L45" s="12">
        <f t="shared" si="3"/>
        <v>12.3</v>
      </c>
      <c r="M45" s="13">
        <f t="shared" si="13"/>
        <v>13.750000000000002</v>
      </c>
      <c r="N45" s="13">
        <f t="shared" si="14"/>
        <v>3.3000000000000003</v>
      </c>
      <c r="O45" s="10">
        <v>4</v>
      </c>
      <c r="P45" s="10">
        <v>4</v>
      </c>
      <c r="Q45" s="11" t="s">
        <v>79</v>
      </c>
      <c r="R45" s="10"/>
      <c r="S45" s="10"/>
    </row>
    <row r="46" spans="1:20" ht="20" customHeight="1" x14ac:dyDescent="0.3">
      <c r="C46" s="4"/>
      <c r="D46" s="32" t="s">
        <v>234</v>
      </c>
      <c r="E46" s="29" t="s">
        <v>224</v>
      </c>
      <c r="F46" s="29" t="s">
        <v>222</v>
      </c>
      <c r="G46" s="16">
        <v>2</v>
      </c>
      <c r="H46" s="16">
        <v>9</v>
      </c>
      <c r="I46" s="16">
        <v>2.2999999999999998</v>
      </c>
      <c r="J46" s="23">
        <f t="shared" ref="J46" si="20">(G46*$I$2)+(H46*$I$3)</f>
        <v>8.5</v>
      </c>
      <c r="K46" s="10">
        <f t="shared" ref="K46" si="21">(G46*$I$5)+(H46*$I$6)+(I46*$I$7)</f>
        <v>5.5</v>
      </c>
      <c r="L46" s="12">
        <f t="shared" ref="L46" si="22">J46+K46</f>
        <v>14</v>
      </c>
      <c r="M46" s="13">
        <f t="shared" ref="M46" si="23">I46*$M$2</f>
        <v>14.374999999999998</v>
      </c>
      <c r="N46" s="13">
        <f t="shared" ref="N46" si="24">I46*$M$3</f>
        <v>3.4499999999999997</v>
      </c>
      <c r="O46" s="10">
        <v>4</v>
      </c>
      <c r="P46" s="10">
        <v>2</v>
      </c>
      <c r="Q46" s="26" t="s">
        <v>225</v>
      </c>
      <c r="R46" s="10"/>
      <c r="S46" s="10"/>
      <c r="T46" s="31"/>
    </row>
    <row r="47" spans="1:20" ht="20" customHeight="1" x14ac:dyDescent="0.3">
      <c r="A47" s="2">
        <v>14</v>
      </c>
      <c r="B47" s="2">
        <v>15</v>
      </c>
      <c r="C47" s="9" t="s">
        <v>145</v>
      </c>
      <c r="D47" s="9" t="s">
        <v>146</v>
      </c>
      <c r="E47" s="9" t="s">
        <v>147</v>
      </c>
      <c r="F47" s="9" t="s">
        <v>57</v>
      </c>
      <c r="G47" s="15">
        <v>3.5</v>
      </c>
      <c r="H47" s="15">
        <v>3.5</v>
      </c>
      <c r="I47" s="15">
        <v>2.2999999999999998</v>
      </c>
      <c r="J47" s="23">
        <f t="shared" si="12"/>
        <v>8.75</v>
      </c>
      <c r="K47" s="10">
        <f t="shared" si="2"/>
        <v>3.5</v>
      </c>
      <c r="L47" s="12">
        <f t="shared" si="3"/>
        <v>12.25</v>
      </c>
      <c r="M47" s="13">
        <f t="shared" si="13"/>
        <v>14.374999999999998</v>
      </c>
      <c r="N47" s="13">
        <f t="shared" si="14"/>
        <v>3.4499999999999997</v>
      </c>
      <c r="O47" s="10">
        <v>3</v>
      </c>
      <c r="P47" s="10">
        <v>3</v>
      </c>
      <c r="Q47" s="11" t="s">
        <v>148</v>
      </c>
      <c r="R47" s="10"/>
      <c r="S47" s="10"/>
    </row>
    <row r="48" spans="1:20" ht="20" customHeight="1" x14ac:dyDescent="0.3">
      <c r="C48" s="9"/>
      <c r="D48" s="9" t="s">
        <v>149</v>
      </c>
      <c r="E48" s="9" t="s">
        <v>150</v>
      </c>
      <c r="F48" s="14" t="s">
        <v>57</v>
      </c>
      <c r="G48" s="15">
        <v>4</v>
      </c>
      <c r="H48" s="15">
        <v>3.7</v>
      </c>
      <c r="I48" s="15">
        <v>2.4</v>
      </c>
      <c r="J48" s="23">
        <f t="shared" si="12"/>
        <v>9.85</v>
      </c>
      <c r="K48" s="10">
        <f t="shared" si="2"/>
        <v>3.85</v>
      </c>
      <c r="L48" s="12">
        <f t="shared" si="3"/>
        <v>13.7</v>
      </c>
      <c r="M48" s="13">
        <f t="shared" si="13"/>
        <v>15</v>
      </c>
      <c r="N48" s="13">
        <f t="shared" si="14"/>
        <v>3.5999999999999996</v>
      </c>
      <c r="O48" s="10">
        <v>2</v>
      </c>
      <c r="P48" s="10">
        <v>4</v>
      </c>
      <c r="Q48" s="11" t="s">
        <v>60</v>
      </c>
      <c r="R48" s="10"/>
      <c r="S48" s="10"/>
    </row>
    <row r="49" spans="1:19" ht="20" customHeight="1" x14ac:dyDescent="0.3">
      <c r="A49" s="2">
        <v>16</v>
      </c>
      <c r="B49" s="2">
        <v>16</v>
      </c>
      <c r="C49" s="4" t="s">
        <v>151</v>
      </c>
      <c r="D49" s="17" t="s">
        <v>152</v>
      </c>
      <c r="E49" s="4" t="s">
        <v>153</v>
      </c>
      <c r="F49" s="4" t="s">
        <v>57</v>
      </c>
      <c r="G49" s="16">
        <v>4.0999999999999996</v>
      </c>
      <c r="H49" s="16">
        <v>4.3</v>
      </c>
      <c r="I49" s="16">
        <v>2.5</v>
      </c>
      <c r="J49" s="23">
        <f t="shared" si="12"/>
        <v>10.35</v>
      </c>
      <c r="K49" s="10">
        <f t="shared" si="2"/>
        <v>4.1999999999999993</v>
      </c>
      <c r="L49" s="12">
        <f t="shared" si="3"/>
        <v>14.549999999999999</v>
      </c>
      <c r="M49" s="13">
        <f t="shared" si="13"/>
        <v>15.625</v>
      </c>
      <c r="N49" s="13">
        <f t="shared" si="14"/>
        <v>3.75</v>
      </c>
      <c r="O49" s="10">
        <v>4</v>
      </c>
      <c r="P49" s="10">
        <v>4</v>
      </c>
      <c r="Q49" s="11" t="s">
        <v>123</v>
      </c>
      <c r="R49" s="11" t="s">
        <v>154</v>
      </c>
      <c r="S49" s="10"/>
    </row>
    <row r="50" spans="1:19" ht="20" customHeight="1" x14ac:dyDescent="0.3">
      <c r="C50" s="4"/>
      <c r="D50" s="4" t="s">
        <v>155</v>
      </c>
      <c r="E50" s="4" t="s">
        <v>156</v>
      </c>
      <c r="F50" s="4" t="s">
        <v>57</v>
      </c>
      <c r="G50" s="16">
        <v>4.2</v>
      </c>
      <c r="H50" s="16">
        <v>4.5</v>
      </c>
      <c r="I50" s="16">
        <v>2.5</v>
      </c>
      <c r="J50" s="23">
        <f t="shared" si="12"/>
        <v>10.65</v>
      </c>
      <c r="K50" s="10">
        <f t="shared" si="2"/>
        <v>4.3499999999999996</v>
      </c>
      <c r="L50" s="12">
        <f t="shared" si="3"/>
        <v>15</v>
      </c>
      <c r="M50" s="13">
        <f t="shared" si="13"/>
        <v>15.625</v>
      </c>
      <c r="N50" s="13">
        <f t="shared" si="14"/>
        <v>3.75</v>
      </c>
      <c r="O50" s="10">
        <v>3</v>
      </c>
      <c r="P50" s="10">
        <v>5</v>
      </c>
      <c r="Q50" s="11" t="s">
        <v>157</v>
      </c>
      <c r="R50" s="11" t="s">
        <v>158</v>
      </c>
      <c r="S50" s="10"/>
    </row>
    <row r="51" spans="1:19" ht="20" customHeight="1" x14ac:dyDescent="0.3">
      <c r="C51" s="4"/>
      <c r="D51" s="4" t="s">
        <v>159</v>
      </c>
      <c r="E51" s="4" t="s">
        <v>160</v>
      </c>
      <c r="F51" s="4" t="s">
        <v>57</v>
      </c>
      <c r="G51" s="16">
        <v>4.5999999999999996</v>
      </c>
      <c r="H51" s="16">
        <v>4.5</v>
      </c>
      <c r="I51" s="16">
        <v>2.5</v>
      </c>
      <c r="J51" s="23">
        <f t="shared" si="12"/>
        <v>11.45</v>
      </c>
      <c r="K51" s="10">
        <f t="shared" si="2"/>
        <v>4.55</v>
      </c>
      <c r="L51" s="12">
        <f t="shared" si="3"/>
        <v>16</v>
      </c>
      <c r="M51" s="13">
        <f t="shared" si="13"/>
        <v>15.625</v>
      </c>
      <c r="N51" s="13">
        <f t="shared" si="14"/>
        <v>3.75</v>
      </c>
      <c r="O51" s="10">
        <v>4</v>
      </c>
      <c r="P51" s="10">
        <v>4</v>
      </c>
      <c r="Q51" s="11" t="s">
        <v>161</v>
      </c>
      <c r="R51" s="10"/>
      <c r="S51" s="10"/>
    </row>
    <row r="52" spans="1:19" ht="20" customHeight="1" x14ac:dyDescent="0.3">
      <c r="C52" s="4"/>
      <c r="D52" s="4" t="s">
        <v>162</v>
      </c>
      <c r="E52" s="17" t="s">
        <v>163</v>
      </c>
      <c r="F52" s="4" t="s">
        <v>57</v>
      </c>
      <c r="G52" s="16">
        <v>4.5999999999999996</v>
      </c>
      <c r="H52" s="16">
        <v>4.5</v>
      </c>
      <c r="I52" s="16">
        <v>2.5</v>
      </c>
      <c r="J52" s="23">
        <f t="shared" si="12"/>
        <v>11.45</v>
      </c>
      <c r="K52" s="10">
        <f t="shared" si="2"/>
        <v>4.55</v>
      </c>
      <c r="L52" s="12">
        <f t="shared" si="3"/>
        <v>16</v>
      </c>
      <c r="M52" s="13">
        <f t="shared" si="13"/>
        <v>15.625</v>
      </c>
      <c r="N52" s="13">
        <f t="shared" si="14"/>
        <v>3.75</v>
      </c>
      <c r="O52" s="10">
        <v>4</v>
      </c>
      <c r="P52" s="10">
        <v>5</v>
      </c>
      <c r="Q52" s="11" t="s">
        <v>164</v>
      </c>
      <c r="R52" s="10"/>
      <c r="S52" s="10"/>
    </row>
    <row r="53" spans="1:19" ht="20" customHeight="1" x14ac:dyDescent="0.3">
      <c r="A53" s="2">
        <v>19</v>
      </c>
      <c r="B53" s="2">
        <v>18</v>
      </c>
      <c r="C53" s="14" t="s">
        <v>165</v>
      </c>
      <c r="D53" s="9" t="s">
        <v>166</v>
      </c>
      <c r="E53" s="14" t="s">
        <v>167</v>
      </c>
      <c r="F53" s="9" t="s">
        <v>57</v>
      </c>
      <c r="G53" s="15">
        <v>4.2</v>
      </c>
      <c r="H53" s="15">
        <v>3</v>
      </c>
      <c r="I53" s="15">
        <v>2.2000000000000002</v>
      </c>
      <c r="J53" s="23">
        <f t="shared" si="12"/>
        <v>9.9</v>
      </c>
      <c r="K53" s="10">
        <f t="shared" si="2"/>
        <v>3.6</v>
      </c>
      <c r="L53" s="12">
        <f t="shared" si="3"/>
        <v>13.5</v>
      </c>
      <c r="M53" s="13">
        <f t="shared" si="13"/>
        <v>13.750000000000002</v>
      </c>
      <c r="N53" s="13">
        <f t="shared" si="14"/>
        <v>3.3000000000000003</v>
      </c>
      <c r="O53" s="10">
        <v>4</v>
      </c>
      <c r="P53" s="10">
        <v>5</v>
      </c>
      <c r="Q53" s="11" t="s">
        <v>168</v>
      </c>
      <c r="R53" s="10"/>
      <c r="S53" s="10"/>
    </row>
    <row r="54" spans="1:19" ht="20" customHeight="1" x14ac:dyDescent="0.3">
      <c r="C54" s="9"/>
      <c r="D54" s="9" t="s">
        <v>169</v>
      </c>
      <c r="E54" s="14" t="s">
        <v>170</v>
      </c>
      <c r="F54" s="9" t="s">
        <v>57</v>
      </c>
      <c r="G54" s="15">
        <v>6</v>
      </c>
      <c r="H54" s="15">
        <v>3</v>
      </c>
      <c r="I54" s="15">
        <v>2.6</v>
      </c>
      <c r="J54" s="23">
        <f t="shared" si="12"/>
        <v>13.5</v>
      </c>
      <c r="K54" s="10">
        <f t="shared" si="2"/>
        <v>4.5</v>
      </c>
      <c r="L54" s="12">
        <f t="shared" si="3"/>
        <v>18</v>
      </c>
      <c r="M54" s="13">
        <f t="shared" si="13"/>
        <v>16.25</v>
      </c>
      <c r="N54" s="13">
        <f t="shared" si="14"/>
        <v>3.9000000000000004</v>
      </c>
      <c r="O54" s="10">
        <v>4</v>
      </c>
      <c r="P54" s="10">
        <v>5</v>
      </c>
      <c r="Q54" s="11" t="s">
        <v>60</v>
      </c>
      <c r="R54" s="10"/>
      <c r="S54" s="10"/>
    </row>
    <row r="55" spans="1:19" ht="20" customHeight="1" x14ac:dyDescent="0.3">
      <c r="C55" s="9"/>
      <c r="D55" s="9" t="s">
        <v>171</v>
      </c>
      <c r="E55" s="14" t="s">
        <v>172</v>
      </c>
      <c r="F55" s="9" t="s">
        <v>57</v>
      </c>
      <c r="G55" s="15">
        <v>4.2</v>
      </c>
      <c r="H55" s="15">
        <v>3</v>
      </c>
      <c r="I55" s="15">
        <v>2.2000000000000002</v>
      </c>
      <c r="J55" s="23">
        <f t="shared" si="12"/>
        <v>9.9</v>
      </c>
      <c r="K55" s="10">
        <f t="shared" si="2"/>
        <v>3.6</v>
      </c>
      <c r="L55" s="12">
        <f t="shared" si="3"/>
        <v>13.5</v>
      </c>
      <c r="M55" s="13">
        <f t="shared" si="13"/>
        <v>13.750000000000002</v>
      </c>
      <c r="N55" s="13">
        <f t="shared" si="14"/>
        <v>3.3000000000000003</v>
      </c>
      <c r="O55" s="10">
        <v>4</v>
      </c>
      <c r="P55" s="10">
        <v>5</v>
      </c>
      <c r="Q55" s="11" t="s">
        <v>173</v>
      </c>
      <c r="R55" s="11" t="s">
        <v>174</v>
      </c>
      <c r="S55" s="10"/>
    </row>
    <row r="56" spans="1:19" ht="20" customHeight="1" x14ac:dyDescent="0.3">
      <c r="C56" s="4" t="s">
        <v>175</v>
      </c>
      <c r="D56" s="4" t="s">
        <v>176</v>
      </c>
      <c r="E56" s="4" t="s">
        <v>177</v>
      </c>
      <c r="F56" s="4" t="s">
        <v>53</v>
      </c>
      <c r="G56" s="16">
        <v>5.4</v>
      </c>
      <c r="H56" s="16">
        <v>5.4</v>
      </c>
      <c r="I56" s="16">
        <v>2.8</v>
      </c>
      <c r="J56" s="23">
        <f t="shared" si="12"/>
        <v>13.5</v>
      </c>
      <c r="K56" s="10">
        <f t="shared" si="2"/>
        <v>5.4</v>
      </c>
      <c r="L56" s="12">
        <f t="shared" ref="L56:L57" si="25">J56+K56</f>
        <v>18.899999999999999</v>
      </c>
      <c r="M56" s="13">
        <f t="shared" ref="M56:M57" si="26">I56*$M$2</f>
        <v>17.5</v>
      </c>
      <c r="N56" s="13">
        <f t="shared" ref="N56:N57" si="27">I56*$M$3</f>
        <v>4.1999999999999993</v>
      </c>
      <c r="O56" s="10">
        <v>3</v>
      </c>
      <c r="P56" s="10">
        <v>4</v>
      </c>
      <c r="Q56" s="11" t="s">
        <v>178</v>
      </c>
      <c r="R56" s="10"/>
      <c r="S56" s="10"/>
    </row>
    <row r="57" spans="1:19" ht="20" customHeight="1" x14ac:dyDescent="0.3">
      <c r="C57" s="4"/>
      <c r="D57" s="4" t="s">
        <v>179</v>
      </c>
      <c r="E57" s="4" t="s">
        <v>180</v>
      </c>
      <c r="F57" s="4" t="s">
        <v>57</v>
      </c>
      <c r="G57" s="16">
        <v>5.4</v>
      </c>
      <c r="H57" s="16">
        <v>5.5</v>
      </c>
      <c r="I57" s="16">
        <v>2.9</v>
      </c>
      <c r="J57" s="23">
        <f t="shared" si="12"/>
        <v>13.55</v>
      </c>
      <c r="K57" s="10">
        <f t="shared" si="2"/>
        <v>5.45</v>
      </c>
      <c r="L57" s="12">
        <f t="shared" si="25"/>
        <v>19</v>
      </c>
      <c r="M57" s="13">
        <f t="shared" si="26"/>
        <v>18.125</v>
      </c>
      <c r="N57" s="13">
        <f t="shared" si="27"/>
        <v>4.3499999999999996</v>
      </c>
      <c r="O57" s="10">
        <v>3</v>
      </c>
      <c r="P57" s="10">
        <v>4</v>
      </c>
      <c r="Q57" s="10" t="s">
        <v>181</v>
      </c>
      <c r="R57" s="10" t="s">
        <v>182</v>
      </c>
      <c r="S57" s="10"/>
    </row>
    <row r="58" spans="1:19" ht="20" customHeight="1" x14ac:dyDescent="0.3">
      <c r="A58" s="2">
        <v>22</v>
      </c>
      <c r="B58" s="2">
        <v>20</v>
      </c>
      <c r="C58" s="9" t="s">
        <v>183</v>
      </c>
      <c r="D58" s="9" t="s">
        <v>184</v>
      </c>
      <c r="E58" s="9" t="s">
        <v>185</v>
      </c>
      <c r="F58" s="9" t="s">
        <v>57</v>
      </c>
      <c r="G58" s="15">
        <v>6.3</v>
      </c>
      <c r="H58" s="15">
        <v>6</v>
      </c>
      <c r="I58" s="15">
        <v>3.2</v>
      </c>
      <c r="J58" s="23">
        <f t="shared" ref="J58:J89" si="28">(G58*$I$2)+(H58*$I$3)</f>
        <v>15.6</v>
      </c>
      <c r="K58" s="10">
        <f t="shared" ref="K58:K89" si="29">(G58*$I$5)+(H58*$I$6)+(I58*$I$7)</f>
        <v>6.15</v>
      </c>
      <c r="L58" s="12">
        <f t="shared" ref="L58:L89" si="30">J58+K58</f>
        <v>21.75</v>
      </c>
      <c r="M58" s="13">
        <f t="shared" ref="M58:M89" si="31">I58*$M$2</f>
        <v>20</v>
      </c>
      <c r="N58" s="13">
        <f t="shared" ref="N58:N89" si="32">I58*$M$3</f>
        <v>4.8000000000000007</v>
      </c>
      <c r="O58" s="10">
        <v>4</v>
      </c>
      <c r="P58" s="10">
        <v>6</v>
      </c>
      <c r="Q58" s="11" t="s">
        <v>123</v>
      </c>
      <c r="R58" s="11" t="s">
        <v>186</v>
      </c>
      <c r="S58" s="10"/>
    </row>
    <row r="59" spans="1:19" ht="20" customHeight="1" x14ac:dyDescent="0.3">
      <c r="A59" s="2">
        <v>14</v>
      </c>
      <c r="B59" s="2">
        <v>15</v>
      </c>
      <c r="C59" s="4" t="s">
        <v>187</v>
      </c>
      <c r="D59" s="29" t="s">
        <v>229</v>
      </c>
      <c r="E59" s="29" t="s">
        <v>228</v>
      </c>
      <c r="F59" s="29" t="s">
        <v>222</v>
      </c>
      <c r="G59" s="4">
        <v>5.5</v>
      </c>
      <c r="H59" s="4">
        <v>1</v>
      </c>
      <c r="I59" s="4">
        <v>2.4</v>
      </c>
      <c r="J59" s="23">
        <f t="shared" si="28"/>
        <v>11.5</v>
      </c>
      <c r="K59" s="10">
        <f t="shared" si="29"/>
        <v>3.25</v>
      </c>
      <c r="L59" s="12">
        <f t="shared" si="30"/>
        <v>14.75</v>
      </c>
      <c r="M59" s="13">
        <f t="shared" si="31"/>
        <v>15</v>
      </c>
      <c r="N59" s="13">
        <f t="shared" si="32"/>
        <v>3.5999999999999996</v>
      </c>
      <c r="O59" s="10">
        <v>2</v>
      </c>
      <c r="P59" s="10">
        <v>2</v>
      </c>
      <c r="Q59" s="26" t="s">
        <v>226</v>
      </c>
      <c r="R59" s="10"/>
      <c r="S59" s="10"/>
    </row>
    <row r="60" spans="1:19" ht="20" customHeight="1" x14ac:dyDescent="0.3">
      <c r="C60" s="29" t="s">
        <v>216</v>
      </c>
      <c r="D60" s="29" t="s">
        <v>219</v>
      </c>
      <c r="E60" s="4" t="s">
        <v>220</v>
      </c>
      <c r="F60" s="29" t="s">
        <v>221</v>
      </c>
      <c r="G60" s="4">
        <v>3</v>
      </c>
      <c r="H60" s="4">
        <v>6</v>
      </c>
      <c r="I60" s="4">
        <v>3</v>
      </c>
      <c r="J60" s="23">
        <f t="shared" si="28"/>
        <v>9</v>
      </c>
      <c r="K60" s="10">
        <f t="shared" si="29"/>
        <v>4.5</v>
      </c>
      <c r="L60" s="12">
        <f t="shared" si="30"/>
        <v>13.5</v>
      </c>
      <c r="M60" s="13">
        <f t="shared" si="31"/>
        <v>18.75</v>
      </c>
      <c r="N60" s="13">
        <f t="shared" si="32"/>
        <v>4.5</v>
      </c>
      <c r="O60" s="10">
        <v>1</v>
      </c>
      <c r="P60" s="10">
        <v>1</v>
      </c>
      <c r="Q60" s="26" t="s">
        <v>231</v>
      </c>
      <c r="R60" s="26" t="s">
        <v>232</v>
      </c>
      <c r="S60" s="10"/>
    </row>
    <row r="61" spans="1:19" ht="20" customHeight="1" x14ac:dyDescent="0.3">
      <c r="A61" s="2">
        <v>24</v>
      </c>
      <c r="B61" s="2">
        <v>20</v>
      </c>
      <c r="C61" s="29" t="s">
        <v>218</v>
      </c>
      <c r="D61" s="4" t="s">
        <v>230</v>
      </c>
      <c r="E61" s="29" t="s">
        <v>217</v>
      </c>
      <c r="F61" s="29" t="s">
        <v>222</v>
      </c>
      <c r="G61" s="4">
        <v>7.5</v>
      </c>
      <c r="H61" s="4">
        <v>5.5</v>
      </c>
      <c r="I61" s="4">
        <v>3.3</v>
      </c>
      <c r="J61" s="23">
        <f t="shared" si="28"/>
        <v>17.75</v>
      </c>
      <c r="K61" s="10">
        <f t="shared" si="29"/>
        <v>6.5</v>
      </c>
      <c r="L61" s="12">
        <f t="shared" si="30"/>
        <v>24.25</v>
      </c>
      <c r="M61" s="13">
        <f t="shared" si="31"/>
        <v>20.625</v>
      </c>
      <c r="N61" s="13">
        <f t="shared" si="32"/>
        <v>4.9499999999999993</v>
      </c>
      <c r="O61" s="10">
        <v>2</v>
      </c>
      <c r="P61" s="10">
        <v>2</v>
      </c>
      <c r="Q61" s="26" t="s">
        <v>227</v>
      </c>
      <c r="R61" s="10"/>
      <c r="S61" s="10"/>
    </row>
    <row r="62" spans="1:19" ht="20" customHeight="1" x14ac:dyDescent="0.3">
      <c r="A62" s="2">
        <v>24</v>
      </c>
      <c r="B62" s="2">
        <v>20</v>
      </c>
      <c r="C62" s="14" t="s">
        <v>188</v>
      </c>
      <c r="D62" s="9" t="s">
        <v>233</v>
      </c>
      <c r="E62" s="30" t="s">
        <v>223</v>
      </c>
      <c r="F62" s="30" t="s">
        <v>222</v>
      </c>
      <c r="G62" s="9">
        <v>7</v>
      </c>
      <c r="H62" s="9">
        <v>6</v>
      </c>
      <c r="I62" s="9">
        <v>3.2</v>
      </c>
      <c r="J62" s="23">
        <f t="shared" si="28"/>
        <v>17</v>
      </c>
      <c r="K62" s="10">
        <f t="shared" si="29"/>
        <v>6.5</v>
      </c>
      <c r="L62" s="12">
        <f t="shared" si="30"/>
        <v>23.5</v>
      </c>
      <c r="M62" s="13">
        <f t="shared" si="31"/>
        <v>20</v>
      </c>
      <c r="N62" s="13">
        <f t="shared" si="32"/>
        <v>4.8000000000000007</v>
      </c>
      <c r="O62" s="10">
        <v>3</v>
      </c>
      <c r="P62" s="10">
        <v>3</v>
      </c>
      <c r="Q62" s="26" t="s">
        <v>225</v>
      </c>
      <c r="R62" s="10"/>
      <c r="S62" s="10"/>
    </row>
    <row r="63" spans="1:19" ht="20" customHeight="1" x14ac:dyDescent="0.3">
      <c r="A63" s="2">
        <v>29</v>
      </c>
      <c r="B63" s="2">
        <v>30</v>
      </c>
      <c r="C63" s="4" t="s">
        <v>201</v>
      </c>
      <c r="D63" s="32" t="s">
        <v>290</v>
      </c>
      <c r="E63" s="4" t="s">
        <v>235</v>
      </c>
      <c r="F63" s="4" t="s">
        <v>57</v>
      </c>
      <c r="G63" s="4">
        <v>9</v>
      </c>
      <c r="H63" s="4">
        <v>6</v>
      </c>
      <c r="I63" s="4">
        <v>4</v>
      </c>
      <c r="J63" s="23">
        <f t="shared" si="28"/>
        <v>21</v>
      </c>
      <c r="K63" s="10">
        <f t="shared" si="29"/>
        <v>7.5</v>
      </c>
      <c r="L63" s="12">
        <f t="shared" si="30"/>
        <v>28.5</v>
      </c>
      <c r="M63" s="13">
        <f t="shared" si="31"/>
        <v>25</v>
      </c>
      <c r="N63" s="13">
        <f t="shared" si="32"/>
        <v>6</v>
      </c>
      <c r="O63" s="10">
        <v>4</v>
      </c>
      <c r="P63" s="10">
        <v>4</v>
      </c>
      <c r="Q63" s="26" t="s">
        <v>265</v>
      </c>
      <c r="R63" s="10"/>
      <c r="S63" s="10"/>
    </row>
    <row r="64" spans="1:19" ht="20" customHeight="1" x14ac:dyDescent="0.3">
      <c r="C64" s="4"/>
      <c r="D64" s="4" t="s">
        <v>208</v>
      </c>
      <c r="E64" s="4" t="s">
        <v>207</v>
      </c>
      <c r="F64" s="4" t="s">
        <v>57</v>
      </c>
      <c r="G64" s="4">
        <v>9.6</v>
      </c>
      <c r="H64" s="4">
        <v>7</v>
      </c>
      <c r="I64" s="4">
        <v>4.8</v>
      </c>
      <c r="J64" s="23">
        <f t="shared" ref="J64:J70" si="33">(G64*$I$2)+(H64*$I$3)</f>
        <v>22.7</v>
      </c>
      <c r="K64" s="10">
        <f t="shared" ref="K64:K70" si="34">(G64*$I$5)+(H64*$I$6)+(I64*$I$7)</f>
        <v>8.3000000000000007</v>
      </c>
      <c r="L64" s="12">
        <f t="shared" ref="L64:L70" si="35">J64+K64</f>
        <v>31</v>
      </c>
      <c r="M64" s="13">
        <f t="shared" ref="M64:M70" si="36">I64*$M$2</f>
        <v>30</v>
      </c>
      <c r="N64" s="13">
        <f t="shared" ref="N64:N70" si="37">I64*$M$3</f>
        <v>7.1999999999999993</v>
      </c>
      <c r="O64" s="10">
        <v>5</v>
      </c>
      <c r="P64" s="10">
        <v>4</v>
      </c>
      <c r="Q64" s="26" t="s">
        <v>266</v>
      </c>
      <c r="R64" s="10"/>
      <c r="S64" s="10"/>
    </row>
    <row r="65" spans="1:19" ht="20" customHeight="1" x14ac:dyDescent="0.3">
      <c r="C65" s="4"/>
      <c r="D65" s="4" t="s">
        <v>209</v>
      </c>
      <c r="E65" s="4" t="s">
        <v>210</v>
      </c>
      <c r="F65" s="4" t="s">
        <v>57</v>
      </c>
      <c r="G65" s="4">
        <v>8</v>
      </c>
      <c r="H65" s="4">
        <v>12</v>
      </c>
      <c r="I65" s="4">
        <v>4</v>
      </c>
      <c r="J65" s="23">
        <f t="shared" si="33"/>
        <v>22</v>
      </c>
      <c r="K65" s="10">
        <f t="shared" si="34"/>
        <v>10</v>
      </c>
      <c r="L65" s="12">
        <f t="shared" si="35"/>
        <v>32</v>
      </c>
      <c r="M65" s="13">
        <f t="shared" si="36"/>
        <v>25</v>
      </c>
      <c r="N65" s="13">
        <f t="shared" si="37"/>
        <v>6</v>
      </c>
      <c r="O65" s="10">
        <v>5</v>
      </c>
      <c r="P65" s="10">
        <v>4</v>
      </c>
      <c r="Q65" s="26" t="s">
        <v>268</v>
      </c>
      <c r="R65" s="10"/>
      <c r="S65" s="10"/>
    </row>
    <row r="66" spans="1:19" ht="20" customHeight="1" x14ac:dyDescent="0.3">
      <c r="A66" s="2">
        <v>35</v>
      </c>
      <c r="B66" s="2">
        <v>40</v>
      </c>
      <c r="C66" s="30" t="s">
        <v>211</v>
      </c>
      <c r="D66" s="33" t="s">
        <v>264</v>
      </c>
      <c r="E66" s="30" t="s">
        <v>262</v>
      </c>
      <c r="F66" s="30" t="s">
        <v>57</v>
      </c>
      <c r="G66" s="30">
        <v>9</v>
      </c>
      <c r="H66" s="30">
        <v>12</v>
      </c>
      <c r="I66" s="30">
        <v>6</v>
      </c>
      <c r="J66" s="23">
        <f t="shared" si="33"/>
        <v>24</v>
      </c>
      <c r="K66" s="10">
        <f t="shared" si="34"/>
        <v>10.5</v>
      </c>
      <c r="L66" s="12">
        <f t="shared" si="35"/>
        <v>34.5</v>
      </c>
      <c r="M66" s="13">
        <f t="shared" si="36"/>
        <v>37.5</v>
      </c>
      <c r="N66" s="13">
        <f t="shared" si="37"/>
        <v>9</v>
      </c>
      <c r="O66" s="10">
        <v>4</v>
      </c>
      <c r="P66" s="10">
        <v>5</v>
      </c>
      <c r="Q66" s="26" t="s">
        <v>269</v>
      </c>
      <c r="R66" s="10"/>
      <c r="S66" s="10"/>
    </row>
    <row r="67" spans="1:19" ht="20" customHeight="1" x14ac:dyDescent="0.3">
      <c r="C67" s="30"/>
      <c r="D67" s="30" t="s">
        <v>259</v>
      </c>
      <c r="E67" s="30" t="s">
        <v>236</v>
      </c>
      <c r="F67" s="30" t="s">
        <v>57</v>
      </c>
      <c r="G67" s="30">
        <v>12</v>
      </c>
      <c r="H67" s="30">
        <v>5</v>
      </c>
      <c r="I67" s="30">
        <v>6.5</v>
      </c>
      <c r="J67" s="23">
        <f t="shared" si="33"/>
        <v>26.5</v>
      </c>
      <c r="K67" s="10">
        <f t="shared" si="34"/>
        <v>8.5</v>
      </c>
      <c r="L67" s="12">
        <f t="shared" si="35"/>
        <v>35</v>
      </c>
      <c r="M67" s="13">
        <f t="shared" si="36"/>
        <v>40.625</v>
      </c>
      <c r="N67" s="13">
        <f t="shared" si="37"/>
        <v>9.75</v>
      </c>
      <c r="O67" s="10">
        <v>4</v>
      </c>
      <c r="P67" s="10">
        <v>5</v>
      </c>
      <c r="Q67" s="10" t="s">
        <v>182</v>
      </c>
      <c r="R67" s="11" t="s">
        <v>174</v>
      </c>
      <c r="S67" s="26" t="s">
        <v>271</v>
      </c>
    </row>
    <row r="68" spans="1:19" ht="20" customHeight="1" x14ac:dyDescent="0.3">
      <c r="A68" s="2">
        <v>40</v>
      </c>
      <c r="B68" s="2">
        <v>45</v>
      </c>
      <c r="C68" s="4" t="s">
        <v>213</v>
      </c>
      <c r="D68" s="4" t="s">
        <v>214</v>
      </c>
      <c r="E68" s="4" t="s">
        <v>215</v>
      </c>
      <c r="F68" s="4" t="s">
        <v>57</v>
      </c>
      <c r="G68" s="4">
        <v>14</v>
      </c>
      <c r="H68" s="4">
        <v>6</v>
      </c>
      <c r="I68" s="4">
        <v>7</v>
      </c>
      <c r="J68" s="23">
        <f t="shared" si="33"/>
        <v>31</v>
      </c>
      <c r="K68" s="10">
        <f t="shared" si="34"/>
        <v>10</v>
      </c>
      <c r="L68" s="12">
        <f t="shared" si="35"/>
        <v>41</v>
      </c>
      <c r="M68" s="13">
        <f t="shared" si="36"/>
        <v>43.75</v>
      </c>
      <c r="N68" s="13">
        <f t="shared" si="37"/>
        <v>10.5</v>
      </c>
      <c r="O68" s="10">
        <v>6</v>
      </c>
      <c r="P68" s="10">
        <v>5</v>
      </c>
      <c r="Q68" s="11" t="s">
        <v>157</v>
      </c>
      <c r="R68" s="11" t="s">
        <v>148</v>
      </c>
      <c r="S68" s="10"/>
    </row>
    <row r="69" spans="1:19" ht="20" customHeight="1" x14ac:dyDescent="0.3">
      <c r="C69" s="4"/>
      <c r="D69" s="4" t="s">
        <v>292</v>
      </c>
      <c r="E69" s="29" t="s">
        <v>291</v>
      </c>
      <c r="F69" s="4" t="s">
        <v>57</v>
      </c>
      <c r="G69" s="4">
        <v>17</v>
      </c>
      <c r="H69" s="4">
        <v>2</v>
      </c>
      <c r="I69" s="4">
        <v>7</v>
      </c>
      <c r="J69" s="23">
        <f t="shared" si="33"/>
        <v>35</v>
      </c>
      <c r="K69" s="10">
        <f t="shared" si="34"/>
        <v>9.5</v>
      </c>
      <c r="L69" s="12">
        <f t="shared" si="35"/>
        <v>44.5</v>
      </c>
      <c r="M69" s="13">
        <f t="shared" si="36"/>
        <v>43.75</v>
      </c>
      <c r="N69" s="13">
        <f t="shared" si="37"/>
        <v>10.5</v>
      </c>
      <c r="O69" s="10">
        <v>6</v>
      </c>
      <c r="P69" s="10">
        <v>6</v>
      </c>
      <c r="Q69" s="26" t="s">
        <v>293</v>
      </c>
      <c r="R69" s="26" t="s">
        <v>269</v>
      </c>
      <c r="S69" s="10"/>
    </row>
    <row r="70" spans="1:19" ht="20" customHeight="1" x14ac:dyDescent="0.3">
      <c r="A70" s="2">
        <v>45</v>
      </c>
      <c r="B70" s="2">
        <v>50</v>
      </c>
      <c r="C70" s="30" t="s">
        <v>237</v>
      </c>
      <c r="D70" s="30" t="s">
        <v>239</v>
      </c>
      <c r="E70" s="30" t="s">
        <v>238</v>
      </c>
      <c r="F70" s="30" t="s">
        <v>57</v>
      </c>
      <c r="G70" s="30">
        <v>15.5</v>
      </c>
      <c r="H70" s="30">
        <v>6</v>
      </c>
      <c r="I70" s="30">
        <v>8</v>
      </c>
      <c r="J70" s="23">
        <f t="shared" si="33"/>
        <v>34</v>
      </c>
      <c r="K70" s="10">
        <f t="shared" si="34"/>
        <v>10.75</v>
      </c>
      <c r="L70" s="12">
        <f t="shared" si="35"/>
        <v>44.75</v>
      </c>
      <c r="M70" s="13">
        <f t="shared" si="36"/>
        <v>50</v>
      </c>
      <c r="N70" s="13">
        <f t="shared" si="37"/>
        <v>12</v>
      </c>
      <c r="O70" s="10">
        <v>6</v>
      </c>
      <c r="P70" s="10">
        <v>6</v>
      </c>
      <c r="Q70" s="26" t="s">
        <v>272</v>
      </c>
      <c r="R70" s="26" t="s">
        <v>227</v>
      </c>
      <c r="S70" s="10"/>
    </row>
    <row r="71" spans="1:19" ht="20" customHeight="1" x14ac:dyDescent="0.3">
      <c r="A71" s="2">
        <v>40</v>
      </c>
      <c r="B71" s="2">
        <v>45</v>
      </c>
      <c r="C71" s="4" t="s">
        <v>202</v>
      </c>
      <c r="D71" s="4" t="s">
        <v>257</v>
      </c>
      <c r="E71" s="4" t="s">
        <v>240</v>
      </c>
      <c r="F71" s="4" t="s">
        <v>57</v>
      </c>
      <c r="G71" s="4">
        <v>14</v>
      </c>
      <c r="H71" s="4">
        <v>5</v>
      </c>
      <c r="I71" s="4">
        <v>7.5</v>
      </c>
      <c r="J71" s="23">
        <f t="shared" si="28"/>
        <v>30.5</v>
      </c>
      <c r="K71" s="10">
        <f t="shared" si="29"/>
        <v>9.5</v>
      </c>
      <c r="L71" s="12">
        <f t="shared" si="30"/>
        <v>40</v>
      </c>
      <c r="M71" s="13">
        <f t="shared" si="31"/>
        <v>46.875</v>
      </c>
      <c r="N71" s="13">
        <f t="shared" si="32"/>
        <v>11.25</v>
      </c>
      <c r="O71" s="10">
        <v>6</v>
      </c>
      <c r="P71" s="10">
        <v>7</v>
      </c>
      <c r="Q71" s="26" t="s">
        <v>273</v>
      </c>
      <c r="R71" s="10"/>
      <c r="S71" s="10"/>
    </row>
    <row r="72" spans="1:19" ht="20" customHeight="1" x14ac:dyDescent="0.3">
      <c r="A72" s="2">
        <v>50</v>
      </c>
      <c r="B72" s="2">
        <v>60</v>
      </c>
      <c r="C72" s="30" t="s">
        <v>241</v>
      </c>
      <c r="D72" s="30" t="s">
        <v>260</v>
      </c>
      <c r="E72" s="30" t="s">
        <v>242</v>
      </c>
      <c r="F72" s="30" t="s">
        <v>57</v>
      </c>
      <c r="G72" s="30">
        <v>17</v>
      </c>
      <c r="H72" s="30">
        <v>7</v>
      </c>
      <c r="I72" s="30">
        <v>9.5</v>
      </c>
      <c r="J72" s="23">
        <f t="shared" si="28"/>
        <v>37.5</v>
      </c>
      <c r="K72" s="10">
        <f t="shared" si="29"/>
        <v>12</v>
      </c>
      <c r="L72" s="12">
        <f t="shared" si="30"/>
        <v>49.5</v>
      </c>
      <c r="M72" s="13">
        <f t="shared" si="31"/>
        <v>59.375</v>
      </c>
      <c r="N72" s="13">
        <f t="shared" si="32"/>
        <v>14.25</v>
      </c>
      <c r="O72" s="10">
        <v>7</v>
      </c>
      <c r="P72" s="10">
        <v>7</v>
      </c>
      <c r="Q72" s="26" t="s">
        <v>289</v>
      </c>
      <c r="R72" s="10"/>
      <c r="S72" s="10"/>
    </row>
    <row r="73" spans="1:19" ht="20" customHeight="1" x14ac:dyDescent="0.3">
      <c r="C73" s="30"/>
      <c r="D73" s="30" t="s">
        <v>260</v>
      </c>
      <c r="E73" s="30" t="s">
        <v>247</v>
      </c>
      <c r="F73" s="30" t="s">
        <v>57</v>
      </c>
      <c r="G73" s="30">
        <v>18</v>
      </c>
      <c r="H73" s="30">
        <v>10</v>
      </c>
      <c r="I73" s="30">
        <v>9.8000000000000007</v>
      </c>
      <c r="J73" s="23">
        <f t="shared" ref="J73:J78" si="38">(G73*$I$2)+(H73*$I$3)</f>
        <v>41</v>
      </c>
      <c r="K73" s="10">
        <f t="shared" ref="K73:K78" si="39">(G73*$I$5)+(H73*$I$6)+(I73*$I$7)</f>
        <v>14</v>
      </c>
      <c r="L73" s="12">
        <f t="shared" ref="L73:L78" si="40">J73+K73</f>
        <v>55</v>
      </c>
      <c r="M73" s="13">
        <f t="shared" ref="M73:M78" si="41">I73*$M$2</f>
        <v>61.250000000000007</v>
      </c>
      <c r="N73" s="13">
        <f t="shared" ref="N73:N78" si="42">I73*$M$3</f>
        <v>14.700000000000001</v>
      </c>
      <c r="O73" s="10">
        <v>7</v>
      </c>
      <c r="P73" s="10">
        <v>7</v>
      </c>
      <c r="Q73" s="26" t="s">
        <v>274</v>
      </c>
      <c r="R73" s="26" t="s">
        <v>231</v>
      </c>
      <c r="S73" s="10"/>
    </row>
    <row r="74" spans="1:19" ht="20" customHeight="1" x14ac:dyDescent="0.3">
      <c r="A74" s="2">
        <v>60</v>
      </c>
      <c r="B74" s="2">
        <v>65</v>
      </c>
      <c r="C74" s="4" t="s">
        <v>243</v>
      </c>
      <c r="D74" s="4" t="s">
        <v>256</v>
      </c>
      <c r="E74" s="4" t="s">
        <v>244</v>
      </c>
      <c r="F74" s="4" t="s">
        <v>57</v>
      </c>
      <c r="G74" s="4">
        <v>20</v>
      </c>
      <c r="H74" s="4">
        <v>10</v>
      </c>
      <c r="I74" s="4">
        <v>10</v>
      </c>
      <c r="J74" s="23">
        <f t="shared" si="38"/>
        <v>45</v>
      </c>
      <c r="K74" s="10">
        <f t="shared" si="39"/>
        <v>15</v>
      </c>
      <c r="L74" s="12">
        <f t="shared" si="40"/>
        <v>60</v>
      </c>
      <c r="M74" s="13">
        <f t="shared" si="41"/>
        <v>62.5</v>
      </c>
      <c r="N74" s="13">
        <f t="shared" si="42"/>
        <v>15</v>
      </c>
      <c r="O74" s="10">
        <v>8</v>
      </c>
      <c r="P74" s="10">
        <v>8</v>
      </c>
      <c r="Q74" s="26" t="s">
        <v>275</v>
      </c>
      <c r="R74" s="26" t="s">
        <v>276</v>
      </c>
      <c r="S74" s="10"/>
    </row>
    <row r="75" spans="1:19" ht="20" customHeight="1" x14ac:dyDescent="0.3">
      <c r="C75" s="4"/>
      <c r="D75" s="4" t="s">
        <v>255</v>
      </c>
      <c r="E75" s="4" t="s">
        <v>245</v>
      </c>
      <c r="F75" s="4" t="s">
        <v>57</v>
      </c>
      <c r="G75" s="4">
        <v>23</v>
      </c>
      <c r="H75" s="4">
        <v>8</v>
      </c>
      <c r="I75" s="4">
        <v>11</v>
      </c>
      <c r="J75" s="23">
        <f t="shared" si="38"/>
        <v>50</v>
      </c>
      <c r="K75" s="10">
        <f t="shared" si="39"/>
        <v>15.5</v>
      </c>
      <c r="L75" s="12">
        <f t="shared" si="40"/>
        <v>65.5</v>
      </c>
      <c r="M75" s="13">
        <f t="shared" si="41"/>
        <v>68.75</v>
      </c>
      <c r="N75" s="13">
        <f t="shared" si="42"/>
        <v>16.5</v>
      </c>
      <c r="O75" s="10">
        <v>8</v>
      </c>
      <c r="P75" s="10">
        <v>8</v>
      </c>
      <c r="Q75" s="26" t="s">
        <v>266</v>
      </c>
      <c r="R75" s="26" t="s">
        <v>279</v>
      </c>
      <c r="S75" s="10"/>
    </row>
    <row r="76" spans="1:19" ht="20" customHeight="1" x14ac:dyDescent="0.3">
      <c r="C76" s="4"/>
      <c r="D76" s="4" t="s">
        <v>254</v>
      </c>
      <c r="E76" s="4" t="s">
        <v>248</v>
      </c>
      <c r="F76" s="4" t="s">
        <v>57</v>
      </c>
      <c r="G76" s="4">
        <v>17</v>
      </c>
      <c r="H76" s="4">
        <v>18</v>
      </c>
      <c r="I76" s="4">
        <v>10</v>
      </c>
      <c r="J76" s="23">
        <f t="shared" si="38"/>
        <v>43</v>
      </c>
      <c r="K76" s="10">
        <f t="shared" si="39"/>
        <v>17.5</v>
      </c>
      <c r="L76" s="12">
        <f t="shared" si="40"/>
        <v>60.5</v>
      </c>
      <c r="M76" s="13">
        <f t="shared" si="41"/>
        <v>62.5</v>
      </c>
      <c r="N76" s="13">
        <f t="shared" si="42"/>
        <v>15</v>
      </c>
      <c r="O76" s="10">
        <v>8</v>
      </c>
      <c r="P76" s="10">
        <v>8</v>
      </c>
      <c r="Q76" s="26" t="s">
        <v>278</v>
      </c>
      <c r="R76" s="26" t="s">
        <v>277</v>
      </c>
      <c r="S76" s="10"/>
    </row>
    <row r="77" spans="1:19" ht="20" customHeight="1" x14ac:dyDescent="0.3">
      <c r="A77" s="2">
        <v>70</v>
      </c>
      <c r="B77" s="2">
        <v>70</v>
      </c>
      <c r="C77" s="30" t="s">
        <v>246</v>
      </c>
      <c r="D77" s="30" t="s">
        <v>252</v>
      </c>
      <c r="E77" s="30" t="s">
        <v>251</v>
      </c>
      <c r="F77" s="30" t="s">
        <v>57</v>
      </c>
      <c r="G77" s="30">
        <v>25</v>
      </c>
      <c r="H77" s="30">
        <v>9</v>
      </c>
      <c r="I77" s="30">
        <v>11.5</v>
      </c>
      <c r="J77" s="23">
        <f t="shared" si="38"/>
        <v>54.5</v>
      </c>
      <c r="K77" s="10">
        <f t="shared" si="39"/>
        <v>17</v>
      </c>
      <c r="L77" s="12">
        <f t="shared" si="40"/>
        <v>71.5</v>
      </c>
      <c r="M77" s="13">
        <f t="shared" si="41"/>
        <v>71.875</v>
      </c>
      <c r="N77" s="13">
        <f t="shared" si="42"/>
        <v>17.25</v>
      </c>
      <c r="O77" s="10">
        <v>8</v>
      </c>
      <c r="P77" s="10">
        <v>9</v>
      </c>
      <c r="Q77" s="26" t="s">
        <v>280</v>
      </c>
      <c r="R77" s="26" t="s">
        <v>281</v>
      </c>
      <c r="S77" s="26" t="s">
        <v>282</v>
      </c>
    </row>
    <row r="78" spans="1:19" ht="20" customHeight="1" x14ac:dyDescent="0.3">
      <c r="A78" s="2">
        <v>80</v>
      </c>
      <c r="B78" s="2">
        <v>75</v>
      </c>
      <c r="C78" s="4" t="s">
        <v>249</v>
      </c>
      <c r="D78" s="4" t="s">
        <v>253</v>
      </c>
      <c r="E78" s="4" t="s">
        <v>250</v>
      </c>
      <c r="F78" s="4" t="s">
        <v>57</v>
      </c>
      <c r="G78" s="4">
        <v>27</v>
      </c>
      <c r="H78" s="4">
        <v>14</v>
      </c>
      <c r="I78" s="4">
        <v>12</v>
      </c>
      <c r="J78" s="23">
        <f t="shared" si="38"/>
        <v>61</v>
      </c>
      <c r="K78" s="10">
        <f t="shared" si="39"/>
        <v>20.5</v>
      </c>
      <c r="L78" s="12">
        <f t="shared" si="40"/>
        <v>81.5</v>
      </c>
      <c r="M78" s="13">
        <f t="shared" si="41"/>
        <v>75</v>
      </c>
      <c r="N78" s="13">
        <f t="shared" si="42"/>
        <v>18</v>
      </c>
      <c r="O78" s="10">
        <v>8</v>
      </c>
      <c r="P78" s="10">
        <v>9</v>
      </c>
      <c r="Q78" s="26" t="s">
        <v>267</v>
      </c>
      <c r="R78" s="26" t="s">
        <v>270</v>
      </c>
      <c r="S78" s="26" t="s">
        <v>283</v>
      </c>
    </row>
    <row r="79" spans="1:19" ht="20" customHeight="1" x14ac:dyDescent="0.3">
      <c r="A79" s="2">
        <v>60</v>
      </c>
      <c r="B79" s="2">
        <v>65</v>
      </c>
      <c r="C79" s="30" t="s">
        <v>203</v>
      </c>
      <c r="D79" s="30" t="s">
        <v>261</v>
      </c>
      <c r="E79" s="30" t="s">
        <v>204</v>
      </c>
      <c r="F79" s="30" t="s">
        <v>57</v>
      </c>
      <c r="G79" s="30">
        <v>12</v>
      </c>
      <c r="H79" s="30">
        <v>30</v>
      </c>
      <c r="I79" s="30">
        <v>10.5</v>
      </c>
      <c r="J79" s="23">
        <f t="shared" si="28"/>
        <v>39</v>
      </c>
      <c r="K79" s="10">
        <f t="shared" si="29"/>
        <v>21</v>
      </c>
      <c r="L79" s="12">
        <f t="shared" si="30"/>
        <v>60</v>
      </c>
      <c r="M79" s="13">
        <f t="shared" si="31"/>
        <v>65.625</v>
      </c>
      <c r="N79" s="13">
        <f t="shared" si="32"/>
        <v>15.75</v>
      </c>
      <c r="O79" s="10">
        <v>9</v>
      </c>
      <c r="P79" s="10">
        <v>9</v>
      </c>
      <c r="Q79" s="26" t="s">
        <v>273</v>
      </c>
      <c r="R79" s="10"/>
      <c r="S79" s="10"/>
    </row>
    <row r="80" spans="1:19" ht="20" customHeight="1" x14ac:dyDescent="0.3">
      <c r="C80" s="30"/>
      <c r="D80" s="33" t="s">
        <v>263</v>
      </c>
      <c r="E80" s="30" t="s">
        <v>212</v>
      </c>
      <c r="F80" s="30" t="s">
        <v>57</v>
      </c>
      <c r="G80" s="30">
        <v>10</v>
      </c>
      <c r="H80" s="30">
        <v>15</v>
      </c>
      <c r="I80" s="30">
        <v>7</v>
      </c>
      <c r="J80" s="23">
        <f t="shared" si="28"/>
        <v>27.5</v>
      </c>
      <c r="K80" s="10">
        <f t="shared" si="29"/>
        <v>12.5</v>
      </c>
      <c r="L80" s="12">
        <f t="shared" si="30"/>
        <v>40</v>
      </c>
      <c r="M80" s="13">
        <f t="shared" si="31"/>
        <v>43.75</v>
      </c>
      <c r="N80" s="13">
        <f t="shared" si="32"/>
        <v>10.5</v>
      </c>
      <c r="O80" s="10">
        <v>9</v>
      </c>
      <c r="P80" s="10">
        <v>10</v>
      </c>
      <c r="Q80" s="26" t="s">
        <v>284</v>
      </c>
      <c r="R80" s="26" t="s">
        <v>285</v>
      </c>
      <c r="S80" s="10"/>
    </row>
    <row r="81" spans="1:19" ht="20" customHeight="1" x14ac:dyDescent="0.3">
      <c r="A81" s="2">
        <v>75</v>
      </c>
      <c r="B81" s="2">
        <v>80</v>
      </c>
      <c r="C81" s="4" t="s">
        <v>206</v>
      </c>
      <c r="D81" s="4" t="s">
        <v>258</v>
      </c>
      <c r="E81" s="4" t="s">
        <v>205</v>
      </c>
      <c r="F81" s="4" t="s">
        <v>57</v>
      </c>
      <c r="G81" s="4">
        <v>25</v>
      </c>
      <c r="H81" s="4">
        <v>13</v>
      </c>
      <c r="I81" s="4">
        <v>12.7</v>
      </c>
      <c r="J81" s="23">
        <f t="shared" si="28"/>
        <v>56.5</v>
      </c>
      <c r="K81" s="10">
        <f t="shared" si="29"/>
        <v>19</v>
      </c>
      <c r="L81" s="12">
        <f t="shared" si="30"/>
        <v>75.5</v>
      </c>
      <c r="M81" s="13">
        <f t="shared" si="31"/>
        <v>79.375</v>
      </c>
      <c r="N81" s="13">
        <f t="shared" si="32"/>
        <v>19.049999999999997</v>
      </c>
      <c r="O81" s="10">
        <v>9</v>
      </c>
      <c r="P81" s="10">
        <v>10</v>
      </c>
      <c r="Q81" s="31" t="s">
        <v>286</v>
      </c>
      <c r="R81" s="26" t="s">
        <v>287</v>
      </c>
      <c r="S81" s="26" t="s">
        <v>288</v>
      </c>
    </row>
    <row r="82" spans="1:19" ht="20" customHeight="1" x14ac:dyDescent="0.3">
      <c r="C82" s="26"/>
      <c r="D82" s="10"/>
      <c r="E82" s="26"/>
      <c r="F82" s="10"/>
      <c r="G82" s="10"/>
      <c r="H82" s="10"/>
      <c r="I82" s="10"/>
      <c r="J82" s="23">
        <f t="shared" si="28"/>
        <v>0</v>
      </c>
      <c r="K82" s="10">
        <f t="shared" si="29"/>
        <v>0</v>
      </c>
      <c r="L82" s="12">
        <f t="shared" si="30"/>
        <v>0</v>
      </c>
      <c r="M82" s="13">
        <f t="shared" si="31"/>
        <v>0</v>
      </c>
      <c r="N82" s="13">
        <f t="shared" si="32"/>
        <v>0</v>
      </c>
      <c r="O82" s="10"/>
      <c r="P82" s="10"/>
      <c r="Q82" s="10"/>
      <c r="R82" s="10"/>
      <c r="S82" s="10"/>
    </row>
    <row r="83" spans="1:19" ht="20" customHeight="1" x14ac:dyDescent="0.3">
      <c r="C83" s="10"/>
      <c r="D83" s="10"/>
      <c r="E83" s="10"/>
      <c r="F83" s="10"/>
      <c r="G83" s="10"/>
      <c r="H83" s="10"/>
      <c r="I83" s="10"/>
      <c r="J83" s="23">
        <f t="shared" si="28"/>
        <v>0</v>
      </c>
      <c r="K83" s="10">
        <f t="shared" si="29"/>
        <v>0</v>
      </c>
      <c r="L83" s="12">
        <f t="shared" si="30"/>
        <v>0</v>
      </c>
      <c r="M83" s="13">
        <f t="shared" si="31"/>
        <v>0</v>
      </c>
      <c r="N83" s="13">
        <f t="shared" si="32"/>
        <v>0</v>
      </c>
      <c r="O83" s="10"/>
      <c r="P83" s="10"/>
      <c r="Q83" s="10"/>
      <c r="R83" s="10"/>
      <c r="S83" s="10"/>
    </row>
    <row r="84" spans="1:19" ht="20" customHeight="1" x14ac:dyDescent="0.3">
      <c r="C84" s="10"/>
      <c r="D84" s="10"/>
      <c r="E84" s="10"/>
      <c r="F84" s="10"/>
      <c r="G84" s="10"/>
      <c r="H84" s="10"/>
      <c r="I84" s="10"/>
      <c r="J84" s="23">
        <f t="shared" si="28"/>
        <v>0</v>
      </c>
      <c r="K84" s="10">
        <f t="shared" si="29"/>
        <v>0</v>
      </c>
      <c r="L84" s="12">
        <f t="shared" si="30"/>
        <v>0</v>
      </c>
      <c r="M84" s="13">
        <f t="shared" si="31"/>
        <v>0</v>
      </c>
      <c r="N84" s="13">
        <f t="shared" si="32"/>
        <v>0</v>
      </c>
      <c r="O84" s="10"/>
      <c r="P84" s="10"/>
      <c r="Q84" s="10"/>
      <c r="R84" s="10"/>
      <c r="S84" s="10"/>
    </row>
    <row r="85" spans="1:19" ht="20" customHeight="1" x14ac:dyDescent="0.3">
      <c r="C85" s="10"/>
      <c r="D85" s="10"/>
      <c r="E85" s="10"/>
      <c r="F85" s="10"/>
      <c r="G85" s="10"/>
      <c r="H85" s="10"/>
      <c r="I85" s="10"/>
      <c r="J85" s="23">
        <f t="shared" si="28"/>
        <v>0</v>
      </c>
      <c r="K85" s="10">
        <f t="shared" si="29"/>
        <v>0</v>
      </c>
      <c r="L85" s="12">
        <f t="shared" si="30"/>
        <v>0</v>
      </c>
      <c r="M85" s="13">
        <f t="shared" si="31"/>
        <v>0</v>
      </c>
      <c r="N85" s="13">
        <f t="shared" si="32"/>
        <v>0</v>
      </c>
      <c r="O85" s="10"/>
      <c r="P85" s="10"/>
      <c r="Q85" s="10"/>
      <c r="R85" s="10"/>
      <c r="S85" s="10"/>
    </row>
    <row r="86" spans="1:19" ht="20" customHeight="1" x14ac:dyDescent="0.3">
      <c r="C86" s="10"/>
      <c r="D86" s="10"/>
      <c r="E86" s="10"/>
      <c r="F86" s="10"/>
      <c r="G86" s="10"/>
      <c r="H86" s="10"/>
      <c r="I86" s="10"/>
      <c r="J86" s="23">
        <f t="shared" si="28"/>
        <v>0</v>
      </c>
      <c r="K86" s="10">
        <f t="shared" si="29"/>
        <v>0</v>
      </c>
      <c r="L86" s="12">
        <f t="shared" si="30"/>
        <v>0</v>
      </c>
      <c r="M86" s="13">
        <f t="shared" si="31"/>
        <v>0</v>
      </c>
      <c r="N86" s="13">
        <f t="shared" si="32"/>
        <v>0</v>
      </c>
      <c r="O86" s="10"/>
      <c r="P86" s="10"/>
      <c r="Q86" s="10"/>
      <c r="R86" s="10"/>
      <c r="S86" s="10"/>
    </row>
    <row r="87" spans="1:19" ht="20" customHeight="1" x14ac:dyDescent="0.3">
      <c r="C87" s="10"/>
      <c r="D87" s="10"/>
      <c r="E87" s="10"/>
      <c r="F87" s="10"/>
      <c r="G87" s="10"/>
      <c r="H87" s="10"/>
      <c r="I87" s="10"/>
      <c r="J87" s="23">
        <f t="shared" si="28"/>
        <v>0</v>
      </c>
      <c r="K87" s="10">
        <f t="shared" si="29"/>
        <v>0</v>
      </c>
      <c r="L87" s="12">
        <f t="shared" si="30"/>
        <v>0</v>
      </c>
      <c r="M87" s="13">
        <f t="shared" si="31"/>
        <v>0</v>
      </c>
      <c r="N87" s="13">
        <f t="shared" si="32"/>
        <v>0</v>
      </c>
      <c r="O87" s="10"/>
      <c r="P87" s="10"/>
      <c r="Q87" s="10"/>
      <c r="R87" s="10"/>
      <c r="S87" s="10"/>
    </row>
    <row r="88" spans="1:19" ht="20" customHeight="1" x14ac:dyDescent="0.3">
      <c r="C88" s="10"/>
      <c r="D88" s="10"/>
      <c r="E88" s="10"/>
      <c r="F88" s="10"/>
      <c r="G88" s="10"/>
      <c r="H88" s="10"/>
      <c r="I88" s="10"/>
      <c r="J88" s="23">
        <f t="shared" si="28"/>
        <v>0</v>
      </c>
      <c r="K88" s="10">
        <f t="shared" si="29"/>
        <v>0</v>
      </c>
      <c r="L88" s="12">
        <f t="shared" si="30"/>
        <v>0</v>
      </c>
      <c r="M88" s="13">
        <f t="shared" si="31"/>
        <v>0</v>
      </c>
      <c r="N88" s="13">
        <f t="shared" si="32"/>
        <v>0</v>
      </c>
      <c r="O88" s="10"/>
      <c r="P88" s="10"/>
      <c r="Q88" s="10"/>
      <c r="R88" s="10"/>
      <c r="S88" s="10"/>
    </row>
    <row r="89" spans="1:19" ht="20" customHeight="1" x14ac:dyDescent="0.3">
      <c r="C89" s="10"/>
      <c r="D89" s="10"/>
      <c r="E89" s="10"/>
      <c r="F89" s="10"/>
      <c r="G89" s="10"/>
      <c r="H89" s="10"/>
      <c r="I89" s="10"/>
      <c r="J89" s="23">
        <f t="shared" si="28"/>
        <v>0</v>
      </c>
      <c r="K89" s="10">
        <f t="shared" si="29"/>
        <v>0</v>
      </c>
      <c r="L89" s="12">
        <f t="shared" si="30"/>
        <v>0</v>
      </c>
      <c r="M89" s="13">
        <f t="shared" si="31"/>
        <v>0</v>
      </c>
      <c r="N89" s="13">
        <f t="shared" si="32"/>
        <v>0</v>
      </c>
      <c r="O89" s="10"/>
      <c r="P89" s="10"/>
      <c r="Q89" s="10"/>
      <c r="R89" s="10"/>
      <c r="S89" s="10"/>
    </row>
    <row r="90" spans="1:19" ht="20" customHeight="1" x14ac:dyDescent="0.3">
      <c r="C90" s="10"/>
      <c r="D90" s="10"/>
      <c r="E90" s="10"/>
      <c r="F90" s="10"/>
      <c r="G90" s="10"/>
      <c r="H90" s="10"/>
      <c r="I90" s="10"/>
      <c r="J90" s="23">
        <f t="shared" si="12"/>
        <v>0</v>
      </c>
      <c r="K90" s="10">
        <f t="shared" si="2"/>
        <v>0</v>
      </c>
      <c r="L90" s="12">
        <f t="shared" ref="L90:L110" si="43">J90+K90</f>
        <v>0</v>
      </c>
      <c r="M90" s="13">
        <f t="shared" si="10"/>
        <v>0</v>
      </c>
      <c r="N90" s="13">
        <f t="shared" si="11"/>
        <v>0</v>
      </c>
      <c r="O90" s="10"/>
      <c r="P90" s="10"/>
      <c r="Q90" s="10"/>
      <c r="R90" s="10"/>
      <c r="S90" s="10"/>
    </row>
    <row r="91" spans="1:19" ht="20" customHeight="1" x14ac:dyDescent="0.3">
      <c r="C91" s="10"/>
      <c r="D91" s="10"/>
      <c r="E91" s="10"/>
      <c r="F91" s="10"/>
      <c r="G91" s="10"/>
      <c r="H91" s="10"/>
      <c r="I91" s="10"/>
      <c r="J91" s="23">
        <f t="shared" si="12"/>
        <v>0</v>
      </c>
      <c r="K91" s="10">
        <f t="shared" si="2"/>
        <v>0</v>
      </c>
      <c r="L91" s="12">
        <f t="shared" si="43"/>
        <v>0</v>
      </c>
      <c r="M91" s="13">
        <f t="shared" si="10"/>
        <v>0</v>
      </c>
      <c r="N91" s="13">
        <f t="shared" si="11"/>
        <v>0</v>
      </c>
      <c r="O91" s="10"/>
      <c r="P91" s="10"/>
      <c r="Q91" s="10"/>
      <c r="R91" s="10"/>
      <c r="S91" s="10"/>
    </row>
    <row r="92" spans="1:19" ht="20" customHeight="1" x14ac:dyDescent="0.3">
      <c r="C92" s="10"/>
      <c r="D92" s="10"/>
      <c r="E92" s="10"/>
      <c r="F92" s="10"/>
      <c r="G92" s="10"/>
      <c r="H92" s="10"/>
      <c r="I92" s="10"/>
      <c r="J92" s="23">
        <f t="shared" si="12"/>
        <v>0</v>
      </c>
      <c r="K92" s="10">
        <f t="shared" si="2"/>
        <v>0</v>
      </c>
      <c r="L92" s="12">
        <f t="shared" si="43"/>
        <v>0</v>
      </c>
      <c r="M92" s="13">
        <f t="shared" si="10"/>
        <v>0</v>
      </c>
      <c r="N92" s="13">
        <f t="shared" si="11"/>
        <v>0</v>
      </c>
      <c r="O92" s="10"/>
      <c r="P92" s="10"/>
      <c r="Q92" s="10"/>
      <c r="R92" s="10"/>
      <c r="S92" s="10"/>
    </row>
    <row r="93" spans="1:19" ht="20" customHeight="1" x14ac:dyDescent="0.3">
      <c r="C93" s="10"/>
      <c r="D93" s="10"/>
      <c r="E93" s="10"/>
      <c r="F93" s="10"/>
      <c r="G93" s="10"/>
      <c r="H93" s="10"/>
      <c r="I93" s="10"/>
      <c r="J93" s="23">
        <f t="shared" si="12"/>
        <v>0</v>
      </c>
      <c r="K93" s="10">
        <f t="shared" si="2"/>
        <v>0</v>
      </c>
      <c r="L93" s="12">
        <f t="shared" si="43"/>
        <v>0</v>
      </c>
      <c r="M93" s="13">
        <f t="shared" si="10"/>
        <v>0</v>
      </c>
      <c r="N93" s="13">
        <f t="shared" si="11"/>
        <v>0</v>
      </c>
      <c r="O93" s="10"/>
      <c r="P93" s="10"/>
      <c r="Q93" s="10"/>
      <c r="R93" s="10"/>
      <c r="S93" s="10"/>
    </row>
    <row r="94" spans="1:19" ht="20" customHeight="1" x14ac:dyDescent="0.3">
      <c r="C94" s="10"/>
      <c r="D94" s="10"/>
      <c r="E94" s="10"/>
      <c r="F94" s="10"/>
      <c r="G94" s="10"/>
      <c r="H94" s="10"/>
      <c r="I94" s="10"/>
      <c r="J94" s="23">
        <f t="shared" si="12"/>
        <v>0</v>
      </c>
      <c r="K94" s="10">
        <f t="shared" si="2"/>
        <v>0</v>
      </c>
      <c r="L94" s="12">
        <f t="shared" si="43"/>
        <v>0</v>
      </c>
      <c r="M94" s="13">
        <f t="shared" si="10"/>
        <v>0</v>
      </c>
      <c r="N94" s="13">
        <f t="shared" si="11"/>
        <v>0</v>
      </c>
      <c r="O94" s="10"/>
      <c r="P94" s="10"/>
      <c r="Q94" s="10"/>
      <c r="R94" s="10"/>
      <c r="S94" s="10"/>
    </row>
    <row r="95" spans="1:19" ht="20" customHeight="1" x14ac:dyDescent="0.3">
      <c r="C95" s="10"/>
      <c r="D95" s="10"/>
      <c r="E95" s="10"/>
      <c r="F95" s="10"/>
      <c r="G95" s="10"/>
      <c r="H95" s="10"/>
      <c r="I95" s="10"/>
      <c r="J95" s="23">
        <f t="shared" si="12"/>
        <v>0</v>
      </c>
      <c r="K95" s="10">
        <f t="shared" si="2"/>
        <v>0</v>
      </c>
      <c r="L95" s="12">
        <f t="shared" si="43"/>
        <v>0</v>
      </c>
      <c r="M95" s="13">
        <f t="shared" si="10"/>
        <v>0</v>
      </c>
      <c r="N95" s="13">
        <f t="shared" si="11"/>
        <v>0</v>
      </c>
      <c r="O95" s="10"/>
      <c r="P95" s="10"/>
      <c r="Q95" s="10"/>
      <c r="R95" s="10"/>
      <c r="S95" s="10"/>
    </row>
    <row r="96" spans="1:19" ht="20" customHeight="1" x14ac:dyDescent="0.3">
      <c r="C96" s="10"/>
      <c r="D96" s="10"/>
      <c r="E96" s="10"/>
      <c r="F96" s="10"/>
      <c r="G96" s="10"/>
      <c r="H96" s="10"/>
      <c r="I96" s="10"/>
      <c r="J96" s="23">
        <f t="shared" si="12"/>
        <v>0</v>
      </c>
      <c r="K96" s="10">
        <f t="shared" si="2"/>
        <v>0</v>
      </c>
      <c r="L96" s="12">
        <f t="shared" si="43"/>
        <v>0</v>
      </c>
      <c r="M96" s="13">
        <f t="shared" si="10"/>
        <v>0</v>
      </c>
      <c r="N96" s="13">
        <f t="shared" si="11"/>
        <v>0</v>
      </c>
      <c r="O96" s="10"/>
      <c r="P96" s="10"/>
      <c r="Q96" s="10"/>
      <c r="R96" s="10"/>
      <c r="S96" s="10"/>
    </row>
    <row r="97" spans="3:19" ht="20" customHeight="1" x14ac:dyDescent="0.3">
      <c r="C97" s="10"/>
      <c r="D97" s="10"/>
      <c r="E97" s="10"/>
      <c r="F97" s="10"/>
      <c r="G97" s="10"/>
      <c r="H97" s="10"/>
      <c r="I97" s="10"/>
      <c r="J97" s="23">
        <f t="shared" si="12"/>
        <v>0</v>
      </c>
      <c r="K97" s="10">
        <f t="shared" si="2"/>
        <v>0</v>
      </c>
      <c r="L97" s="12">
        <f t="shared" si="43"/>
        <v>0</v>
      </c>
      <c r="M97" s="13">
        <f t="shared" si="10"/>
        <v>0</v>
      </c>
      <c r="N97" s="13">
        <f t="shared" si="11"/>
        <v>0</v>
      </c>
      <c r="O97" s="10"/>
      <c r="P97" s="10"/>
      <c r="Q97" s="10"/>
      <c r="R97" s="10"/>
      <c r="S97" s="10"/>
    </row>
    <row r="98" spans="3:19" ht="20" customHeight="1" x14ac:dyDescent="0.3">
      <c r="C98" s="10"/>
      <c r="D98" s="10"/>
      <c r="E98" s="10"/>
      <c r="F98" s="10"/>
      <c r="G98" s="10"/>
      <c r="H98" s="10"/>
      <c r="I98" s="10"/>
      <c r="J98" s="23">
        <f t="shared" si="12"/>
        <v>0</v>
      </c>
      <c r="K98" s="10">
        <f t="shared" si="2"/>
        <v>0</v>
      </c>
      <c r="L98" s="12">
        <f t="shared" si="43"/>
        <v>0</v>
      </c>
      <c r="M98" s="13">
        <f t="shared" si="10"/>
        <v>0</v>
      </c>
      <c r="N98" s="13">
        <f t="shared" si="11"/>
        <v>0</v>
      </c>
      <c r="O98" s="10"/>
      <c r="P98" s="10"/>
      <c r="Q98" s="10"/>
      <c r="R98" s="10"/>
      <c r="S98" s="10"/>
    </row>
    <row r="99" spans="3:19" ht="20" customHeight="1" x14ac:dyDescent="0.3">
      <c r="C99" s="10"/>
      <c r="D99" s="10"/>
      <c r="E99" s="10"/>
      <c r="F99" s="10"/>
      <c r="G99" s="10"/>
      <c r="H99" s="10"/>
      <c r="I99" s="10"/>
      <c r="J99" s="23">
        <f t="shared" si="12"/>
        <v>0</v>
      </c>
      <c r="K99" s="10">
        <f t="shared" si="2"/>
        <v>0</v>
      </c>
      <c r="L99" s="12">
        <f t="shared" si="43"/>
        <v>0</v>
      </c>
      <c r="M99" s="13">
        <f t="shared" si="10"/>
        <v>0</v>
      </c>
      <c r="N99" s="13">
        <f t="shared" si="11"/>
        <v>0</v>
      </c>
      <c r="O99" s="10"/>
      <c r="P99" s="10"/>
      <c r="Q99" s="10"/>
      <c r="R99" s="10"/>
      <c r="S99" s="10"/>
    </row>
    <row r="100" spans="3:19" ht="20" customHeight="1" x14ac:dyDescent="0.3">
      <c r="C100" s="10"/>
      <c r="D100" s="10"/>
      <c r="E100" s="10"/>
      <c r="F100" s="10"/>
      <c r="G100" s="10"/>
      <c r="H100" s="10"/>
      <c r="I100" s="10"/>
      <c r="J100" s="23">
        <f t="shared" si="12"/>
        <v>0</v>
      </c>
      <c r="K100" s="10">
        <f t="shared" si="2"/>
        <v>0</v>
      </c>
      <c r="L100" s="12">
        <f t="shared" si="43"/>
        <v>0</v>
      </c>
      <c r="M100" s="13">
        <f t="shared" si="10"/>
        <v>0</v>
      </c>
      <c r="N100" s="13">
        <f t="shared" si="11"/>
        <v>0</v>
      </c>
      <c r="O100" s="10"/>
      <c r="P100" s="10"/>
      <c r="Q100" s="10"/>
      <c r="R100" s="10"/>
      <c r="S100" s="10"/>
    </row>
    <row r="101" spans="3:19" ht="20" customHeight="1" x14ac:dyDescent="0.3">
      <c r="C101" s="10"/>
      <c r="D101" s="10"/>
      <c r="E101" s="10"/>
      <c r="F101" s="10"/>
      <c r="G101" s="10"/>
      <c r="H101" s="10"/>
      <c r="I101" s="10"/>
      <c r="J101" s="23">
        <f t="shared" si="12"/>
        <v>0</v>
      </c>
      <c r="K101" s="10">
        <f t="shared" si="2"/>
        <v>0</v>
      </c>
      <c r="L101" s="12">
        <f t="shared" si="43"/>
        <v>0</v>
      </c>
      <c r="M101" s="13">
        <f t="shared" si="10"/>
        <v>0</v>
      </c>
      <c r="N101" s="13">
        <f t="shared" si="11"/>
        <v>0</v>
      </c>
      <c r="O101" s="10"/>
      <c r="P101" s="10"/>
      <c r="Q101" s="10"/>
      <c r="R101" s="10"/>
      <c r="S101" s="10"/>
    </row>
    <row r="102" spans="3:19" ht="20" customHeight="1" x14ac:dyDescent="0.3">
      <c r="C102" s="10"/>
      <c r="D102" s="10"/>
      <c r="E102" s="10"/>
      <c r="F102" s="10"/>
      <c r="G102" s="10"/>
      <c r="H102" s="10"/>
      <c r="I102" s="10"/>
      <c r="J102" s="23">
        <f t="shared" si="12"/>
        <v>0</v>
      </c>
      <c r="K102" s="10">
        <f t="shared" ref="K102:K146" si="44">(G102*$I$5)+(H102*$I$6)+(I102*$I$7)</f>
        <v>0</v>
      </c>
      <c r="L102" s="12">
        <f t="shared" si="43"/>
        <v>0</v>
      </c>
      <c r="M102" s="13">
        <f t="shared" si="10"/>
        <v>0</v>
      </c>
      <c r="N102" s="13">
        <f t="shared" si="11"/>
        <v>0</v>
      </c>
      <c r="O102" s="10"/>
      <c r="P102" s="10"/>
      <c r="Q102" s="10"/>
      <c r="R102" s="10"/>
      <c r="S102" s="10"/>
    </row>
    <row r="103" spans="3:19" ht="20" customHeight="1" x14ac:dyDescent="0.3">
      <c r="C103" s="10"/>
      <c r="D103" s="10"/>
      <c r="E103" s="10"/>
      <c r="F103" s="10"/>
      <c r="G103" s="10"/>
      <c r="H103" s="10"/>
      <c r="I103" s="10"/>
      <c r="J103" s="23">
        <f t="shared" si="12"/>
        <v>0</v>
      </c>
      <c r="K103" s="10">
        <f t="shared" si="44"/>
        <v>0</v>
      </c>
      <c r="L103" s="12">
        <f t="shared" si="43"/>
        <v>0</v>
      </c>
      <c r="M103" s="13">
        <f t="shared" ref="M103:M146" si="45">I103*$M$2</f>
        <v>0</v>
      </c>
      <c r="N103" s="13">
        <f t="shared" ref="N103:N146" si="46">I103*$M$3</f>
        <v>0</v>
      </c>
      <c r="O103" s="10"/>
      <c r="P103" s="10"/>
      <c r="Q103" s="10"/>
      <c r="R103" s="10"/>
      <c r="S103" s="10"/>
    </row>
    <row r="104" spans="3:19" ht="20" customHeight="1" x14ac:dyDescent="0.3">
      <c r="C104" s="10"/>
      <c r="D104" s="10"/>
      <c r="E104" s="10"/>
      <c r="F104" s="10"/>
      <c r="G104" s="10"/>
      <c r="H104" s="10"/>
      <c r="I104" s="10"/>
      <c r="J104" s="23">
        <f t="shared" si="12"/>
        <v>0</v>
      </c>
      <c r="K104" s="10">
        <f t="shared" si="44"/>
        <v>0</v>
      </c>
      <c r="L104" s="12">
        <f t="shared" si="43"/>
        <v>0</v>
      </c>
      <c r="M104" s="13">
        <f t="shared" si="45"/>
        <v>0</v>
      </c>
      <c r="N104" s="13">
        <f t="shared" si="46"/>
        <v>0</v>
      </c>
      <c r="O104" s="10"/>
      <c r="P104" s="10"/>
      <c r="Q104" s="10"/>
      <c r="R104" s="10"/>
      <c r="S104" s="10"/>
    </row>
    <row r="105" spans="3:19" ht="20" customHeight="1" x14ac:dyDescent="0.3">
      <c r="C105" s="10"/>
      <c r="D105" s="10"/>
      <c r="E105" s="10"/>
      <c r="F105" s="10"/>
      <c r="G105" s="10"/>
      <c r="H105" s="10"/>
      <c r="I105" s="10"/>
      <c r="J105" s="23">
        <f t="shared" si="12"/>
        <v>0</v>
      </c>
      <c r="K105" s="10">
        <f t="shared" si="44"/>
        <v>0</v>
      </c>
      <c r="L105" s="12">
        <f t="shared" si="43"/>
        <v>0</v>
      </c>
      <c r="M105" s="13">
        <f t="shared" si="45"/>
        <v>0</v>
      </c>
      <c r="N105" s="13">
        <f t="shared" si="46"/>
        <v>0</v>
      </c>
      <c r="O105" s="10"/>
      <c r="P105" s="10"/>
      <c r="Q105" s="10"/>
      <c r="R105" s="10"/>
      <c r="S105" s="10"/>
    </row>
    <row r="106" spans="3:19" ht="20" customHeight="1" x14ac:dyDescent="0.3">
      <c r="C106" s="10"/>
      <c r="D106" s="10"/>
      <c r="E106" s="10"/>
      <c r="F106" s="10"/>
      <c r="G106" s="10"/>
      <c r="H106" s="10"/>
      <c r="I106" s="10"/>
      <c r="J106" s="23">
        <f t="shared" si="12"/>
        <v>0</v>
      </c>
      <c r="K106" s="10">
        <f t="shared" si="44"/>
        <v>0</v>
      </c>
      <c r="L106" s="12">
        <f t="shared" si="43"/>
        <v>0</v>
      </c>
      <c r="M106" s="13">
        <f t="shared" si="45"/>
        <v>0</v>
      </c>
      <c r="N106" s="13">
        <f t="shared" si="46"/>
        <v>0</v>
      </c>
      <c r="O106" s="10"/>
      <c r="P106" s="10"/>
      <c r="Q106" s="10"/>
      <c r="R106" s="10"/>
      <c r="S106" s="10"/>
    </row>
    <row r="107" spans="3:19" ht="20" customHeight="1" x14ac:dyDescent="0.3">
      <c r="C107" s="10"/>
      <c r="D107" s="10"/>
      <c r="E107" s="10"/>
      <c r="F107" s="10"/>
      <c r="G107" s="10"/>
      <c r="H107" s="10"/>
      <c r="I107" s="10"/>
      <c r="J107" s="23">
        <f t="shared" si="12"/>
        <v>0</v>
      </c>
      <c r="K107" s="10">
        <f t="shared" si="44"/>
        <v>0</v>
      </c>
      <c r="L107" s="12">
        <f t="shared" si="43"/>
        <v>0</v>
      </c>
      <c r="M107" s="13">
        <f t="shared" si="45"/>
        <v>0</v>
      </c>
      <c r="N107" s="13">
        <f t="shared" si="46"/>
        <v>0</v>
      </c>
      <c r="O107" s="10"/>
      <c r="P107" s="10"/>
      <c r="Q107" s="10"/>
      <c r="R107" s="10"/>
      <c r="S107" s="10"/>
    </row>
    <row r="108" spans="3:19" ht="20" customHeight="1" x14ac:dyDescent="0.3">
      <c r="C108" s="10"/>
      <c r="D108" s="10"/>
      <c r="E108" s="10"/>
      <c r="F108" s="10"/>
      <c r="G108" s="10"/>
      <c r="H108" s="10"/>
      <c r="I108" s="10"/>
      <c r="J108" s="23">
        <f t="shared" si="12"/>
        <v>0</v>
      </c>
      <c r="K108" s="10">
        <f t="shared" si="44"/>
        <v>0</v>
      </c>
      <c r="L108" s="12">
        <f t="shared" si="43"/>
        <v>0</v>
      </c>
      <c r="M108" s="13">
        <f t="shared" si="45"/>
        <v>0</v>
      </c>
      <c r="N108" s="13">
        <f t="shared" si="46"/>
        <v>0</v>
      </c>
      <c r="O108" s="10"/>
      <c r="P108" s="10"/>
      <c r="Q108" s="10"/>
      <c r="R108" s="10"/>
      <c r="S108" s="10"/>
    </row>
    <row r="109" spans="3:19" ht="20" customHeight="1" x14ac:dyDescent="0.3">
      <c r="C109" s="10"/>
      <c r="D109" s="10"/>
      <c r="E109" s="10"/>
      <c r="F109" s="10"/>
      <c r="G109" s="10"/>
      <c r="H109" s="10"/>
      <c r="I109" s="10"/>
      <c r="J109" s="23">
        <f t="shared" si="12"/>
        <v>0</v>
      </c>
      <c r="K109" s="10">
        <f t="shared" si="44"/>
        <v>0</v>
      </c>
      <c r="L109" s="12">
        <f t="shared" si="43"/>
        <v>0</v>
      </c>
      <c r="M109" s="13">
        <f t="shared" si="45"/>
        <v>0</v>
      </c>
      <c r="N109" s="13">
        <f t="shared" si="46"/>
        <v>0</v>
      </c>
      <c r="O109" s="10"/>
      <c r="P109" s="10"/>
      <c r="Q109" s="10"/>
      <c r="R109" s="10"/>
      <c r="S109" s="10"/>
    </row>
    <row r="110" spans="3:19" ht="20" customHeight="1" x14ac:dyDescent="0.3">
      <c r="C110" s="10"/>
      <c r="D110" s="10"/>
      <c r="E110" s="10"/>
      <c r="F110" s="10"/>
      <c r="G110" s="10"/>
      <c r="H110" s="10"/>
      <c r="I110" s="10"/>
      <c r="J110" s="23">
        <f t="shared" si="12"/>
        <v>0</v>
      </c>
      <c r="K110" s="10">
        <f t="shared" si="44"/>
        <v>0</v>
      </c>
      <c r="L110" s="12">
        <f t="shared" si="43"/>
        <v>0</v>
      </c>
      <c r="M110" s="13">
        <f t="shared" si="45"/>
        <v>0</v>
      </c>
      <c r="N110" s="13">
        <f t="shared" si="46"/>
        <v>0</v>
      </c>
      <c r="O110" s="10"/>
      <c r="P110" s="10"/>
      <c r="Q110" s="10"/>
      <c r="R110" s="10"/>
      <c r="S110" s="10"/>
    </row>
    <row r="111" spans="3:19" ht="20" customHeight="1" x14ac:dyDescent="0.3">
      <c r="C111" s="10"/>
      <c r="D111" s="10"/>
      <c r="E111" s="10"/>
      <c r="F111" s="10"/>
      <c r="G111" s="10"/>
      <c r="H111" s="10"/>
      <c r="I111" s="10"/>
      <c r="J111" s="23">
        <f t="shared" ref="J111:J146" si="47">(G111*$I$2)+(H111*$I$3)</f>
        <v>0</v>
      </c>
      <c r="K111" s="10">
        <f t="shared" si="44"/>
        <v>0</v>
      </c>
      <c r="L111" s="12">
        <f t="shared" ref="L111:L146" si="48">J111+K111</f>
        <v>0</v>
      </c>
      <c r="M111" s="13">
        <f t="shared" si="45"/>
        <v>0</v>
      </c>
      <c r="N111" s="13">
        <f t="shared" si="46"/>
        <v>0</v>
      </c>
      <c r="O111" s="10"/>
      <c r="P111" s="10"/>
      <c r="Q111" s="10"/>
      <c r="R111" s="10"/>
      <c r="S111" s="10"/>
    </row>
    <row r="112" spans="3:19" ht="20" customHeight="1" x14ac:dyDescent="0.3">
      <c r="C112" s="10"/>
      <c r="D112" s="10"/>
      <c r="E112" s="10"/>
      <c r="F112" s="10"/>
      <c r="G112" s="10"/>
      <c r="H112" s="10"/>
      <c r="I112" s="10"/>
      <c r="J112" s="23">
        <f t="shared" si="47"/>
        <v>0</v>
      </c>
      <c r="K112" s="10">
        <f t="shared" si="44"/>
        <v>0</v>
      </c>
      <c r="L112" s="12">
        <f t="shared" si="48"/>
        <v>0</v>
      </c>
      <c r="M112" s="13">
        <f t="shared" si="45"/>
        <v>0</v>
      </c>
      <c r="N112" s="13">
        <f t="shared" si="46"/>
        <v>0</v>
      </c>
      <c r="O112" s="10"/>
      <c r="P112" s="10"/>
      <c r="Q112" s="10"/>
      <c r="R112" s="10"/>
      <c r="S112" s="10"/>
    </row>
    <row r="113" spans="3:19" ht="20" customHeight="1" x14ac:dyDescent="0.3">
      <c r="C113" s="10"/>
      <c r="D113" s="10"/>
      <c r="E113" s="10"/>
      <c r="F113" s="10"/>
      <c r="G113" s="10"/>
      <c r="H113" s="10"/>
      <c r="I113" s="10"/>
      <c r="J113" s="23">
        <f t="shared" si="47"/>
        <v>0</v>
      </c>
      <c r="K113" s="10">
        <f t="shared" si="44"/>
        <v>0</v>
      </c>
      <c r="L113" s="12">
        <f t="shared" si="48"/>
        <v>0</v>
      </c>
      <c r="M113" s="13">
        <f t="shared" si="45"/>
        <v>0</v>
      </c>
      <c r="N113" s="13">
        <f t="shared" si="46"/>
        <v>0</v>
      </c>
      <c r="O113" s="10"/>
      <c r="P113" s="10"/>
      <c r="Q113" s="10"/>
      <c r="R113" s="10"/>
      <c r="S113" s="10"/>
    </row>
    <row r="114" spans="3:19" ht="20" customHeight="1" x14ac:dyDescent="0.3">
      <c r="C114" s="10"/>
      <c r="D114" s="10"/>
      <c r="E114" s="10"/>
      <c r="F114" s="10"/>
      <c r="G114" s="10"/>
      <c r="H114" s="10"/>
      <c r="I114" s="10"/>
      <c r="J114" s="23">
        <f t="shared" si="47"/>
        <v>0</v>
      </c>
      <c r="K114" s="10">
        <f t="shared" si="44"/>
        <v>0</v>
      </c>
      <c r="L114" s="12">
        <f t="shared" si="48"/>
        <v>0</v>
      </c>
      <c r="M114" s="13">
        <f t="shared" si="45"/>
        <v>0</v>
      </c>
      <c r="N114" s="13">
        <f t="shared" si="46"/>
        <v>0</v>
      </c>
      <c r="O114" s="10"/>
      <c r="P114" s="10"/>
      <c r="Q114" s="10"/>
      <c r="R114" s="10"/>
      <c r="S114" s="10"/>
    </row>
    <row r="115" spans="3:19" ht="20" customHeight="1" x14ac:dyDescent="0.3">
      <c r="C115" s="10"/>
      <c r="D115" s="10"/>
      <c r="E115" s="10"/>
      <c r="F115" s="10"/>
      <c r="G115" s="10"/>
      <c r="H115" s="10"/>
      <c r="I115" s="10"/>
      <c r="J115" s="23">
        <f t="shared" si="47"/>
        <v>0</v>
      </c>
      <c r="K115" s="10">
        <f t="shared" si="44"/>
        <v>0</v>
      </c>
      <c r="L115" s="12">
        <f t="shared" si="48"/>
        <v>0</v>
      </c>
      <c r="M115" s="13">
        <f t="shared" si="45"/>
        <v>0</v>
      </c>
      <c r="N115" s="13">
        <f t="shared" si="46"/>
        <v>0</v>
      </c>
      <c r="O115" s="10"/>
      <c r="P115" s="10"/>
      <c r="Q115" s="10"/>
      <c r="R115" s="10"/>
      <c r="S115" s="10"/>
    </row>
    <row r="116" spans="3:19" ht="20" customHeight="1" x14ac:dyDescent="0.3">
      <c r="C116" s="10"/>
      <c r="D116" s="10"/>
      <c r="E116" s="10"/>
      <c r="F116" s="10"/>
      <c r="G116" s="10"/>
      <c r="H116" s="10"/>
      <c r="I116" s="10"/>
      <c r="J116" s="23">
        <f t="shared" si="47"/>
        <v>0</v>
      </c>
      <c r="K116" s="10">
        <f t="shared" si="44"/>
        <v>0</v>
      </c>
      <c r="L116" s="12">
        <f t="shared" si="48"/>
        <v>0</v>
      </c>
      <c r="M116" s="13">
        <f t="shared" si="45"/>
        <v>0</v>
      </c>
      <c r="N116" s="13">
        <f t="shared" si="46"/>
        <v>0</v>
      </c>
      <c r="O116" s="10"/>
      <c r="P116" s="10"/>
      <c r="Q116" s="10"/>
      <c r="R116" s="10"/>
      <c r="S116" s="10"/>
    </row>
    <row r="117" spans="3:19" ht="20" customHeight="1" x14ac:dyDescent="0.3">
      <c r="C117" s="10"/>
      <c r="D117" s="10"/>
      <c r="E117" s="10"/>
      <c r="F117" s="10"/>
      <c r="G117" s="10"/>
      <c r="H117" s="10"/>
      <c r="I117" s="10"/>
      <c r="J117" s="23">
        <f t="shared" si="47"/>
        <v>0</v>
      </c>
      <c r="K117" s="10">
        <f t="shared" si="44"/>
        <v>0</v>
      </c>
      <c r="L117" s="12">
        <f t="shared" si="48"/>
        <v>0</v>
      </c>
      <c r="M117" s="13">
        <f t="shared" si="45"/>
        <v>0</v>
      </c>
      <c r="N117" s="13">
        <f t="shared" si="46"/>
        <v>0</v>
      </c>
      <c r="O117" s="10"/>
      <c r="P117" s="10"/>
      <c r="Q117" s="10"/>
      <c r="R117" s="10"/>
      <c r="S117" s="10"/>
    </row>
    <row r="118" spans="3:19" ht="20" customHeight="1" x14ac:dyDescent="0.3">
      <c r="C118" s="10"/>
      <c r="D118" s="10"/>
      <c r="E118" s="10"/>
      <c r="F118" s="10"/>
      <c r="G118" s="10"/>
      <c r="H118" s="10"/>
      <c r="I118" s="10"/>
      <c r="J118" s="23">
        <f t="shared" si="47"/>
        <v>0</v>
      </c>
      <c r="K118" s="10">
        <f t="shared" si="44"/>
        <v>0</v>
      </c>
      <c r="L118" s="12">
        <f t="shared" si="48"/>
        <v>0</v>
      </c>
      <c r="M118" s="13">
        <f t="shared" si="45"/>
        <v>0</v>
      </c>
      <c r="N118" s="13">
        <f t="shared" si="46"/>
        <v>0</v>
      </c>
      <c r="O118" s="10"/>
      <c r="P118" s="10"/>
      <c r="Q118" s="10"/>
      <c r="R118" s="10"/>
      <c r="S118" s="10"/>
    </row>
    <row r="119" spans="3:19" ht="20" customHeight="1" x14ac:dyDescent="0.3">
      <c r="C119" s="10"/>
      <c r="D119" s="10"/>
      <c r="E119" s="10"/>
      <c r="F119" s="10"/>
      <c r="G119" s="10"/>
      <c r="H119" s="10"/>
      <c r="I119" s="10"/>
      <c r="J119" s="23">
        <f t="shared" si="47"/>
        <v>0</v>
      </c>
      <c r="K119" s="10">
        <f t="shared" si="44"/>
        <v>0</v>
      </c>
      <c r="L119" s="12">
        <f t="shared" si="48"/>
        <v>0</v>
      </c>
      <c r="M119" s="13">
        <f t="shared" si="45"/>
        <v>0</v>
      </c>
      <c r="N119" s="13">
        <f t="shared" si="46"/>
        <v>0</v>
      </c>
      <c r="O119" s="10"/>
      <c r="P119" s="10"/>
      <c r="Q119" s="10"/>
      <c r="R119" s="10"/>
      <c r="S119" s="10"/>
    </row>
    <row r="120" spans="3:19" ht="20" customHeight="1" x14ac:dyDescent="0.3">
      <c r="C120" s="10"/>
      <c r="D120" s="10"/>
      <c r="E120" s="10"/>
      <c r="F120" s="10"/>
      <c r="G120" s="10"/>
      <c r="H120" s="10"/>
      <c r="I120" s="10"/>
      <c r="J120" s="23">
        <f t="shared" si="47"/>
        <v>0</v>
      </c>
      <c r="K120" s="10">
        <f t="shared" si="44"/>
        <v>0</v>
      </c>
      <c r="L120" s="12">
        <f t="shared" si="48"/>
        <v>0</v>
      </c>
      <c r="M120" s="13">
        <f t="shared" si="45"/>
        <v>0</v>
      </c>
      <c r="N120" s="13">
        <f t="shared" si="46"/>
        <v>0</v>
      </c>
      <c r="O120" s="10"/>
      <c r="P120" s="10"/>
      <c r="Q120" s="10"/>
      <c r="R120" s="10"/>
      <c r="S120" s="10"/>
    </row>
    <row r="121" spans="3:19" ht="20" customHeight="1" x14ac:dyDescent="0.3">
      <c r="C121" s="10"/>
      <c r="D121" s="10"/>
      <c r="E121" s="10"/>
      <c r="F121" s="10"/>
      <c r="G121" s="10"/>
      <c r="H121" s="10"/>
      <c r="I121" s="10"/>
      <c r="J121" s="23">
        <f t="shared" si="47"/>
        <v>0</v>
      </c>
      <c r="K121" s="10">
        <f t="shared" si="44"/>
        <v>0</v>
      </c>
      <c r="L121" s="12">
        <f t="shared" si="48"/>
        <v>0</v>
      </c>
      <c r="M121" s="13">
        <f t="shared" si="45"/>
        <v>0</v>
      </c>
      <c r="N121" s="13">
        <f t="shared" si="46"/>
        <v>0</v>
      </c>
      <c r="O121" s="10"/>
      <c r="P121" s="10"/>
      <c r="Q121" s="10"/>
      <c r="R121" s="10"/>
      <c r="S121" s="10"/>
    </row>
    <row r="122" spans="3:19" ht="20" customHeight="1" x14ac:dyDescent="0.3">
      <c r="C122" s="10"/>
      <c r="D122" s="10"/>
      <c r="E122" s="10"/>
      <c r="F122" s="10"/>
      <c r="G122" s="10"/>
      <c r="H122" s="10"/>
      <c r="I122" s="10"/>
      <c r="J122" s="23">
        <f t="shared" si="47"/>
        <v>0</v>
      </c>
      <c r="K122" s="10">
        <f t="shared" si="44"/>
        <v>0</v>
      </c>
      <c r="L122" s="12">
        <f t="shared" si="48"/>
        <v>0</v>
      </c>
      <c r="M122" s="13">
        <f t="shared" si="45"/>
        <v>0</v>
      </c>
      <c r="N122" s="13">
        <f t="shared" si="46"/>
        <v>0</v>
      </c>
      <c r="O122" s="10"/>
      <c r="P122" s="10"/>
      <c r="Q122" s="10"/>
      <c r="R122" s="10"/>
      <c r="S122" s="10"/>
    </row>
    <row r="123" spans="3:19" ht="20" customHeight="1" x14ac:dyDescent="0.3">
      <c r="C123" s="10"/>
      <c r="D123" s="10"/>
      <c r="E123" s="10"/>
      <c r="F123" s="10"/>
      <c r="G123" s="10"/>
      <c r="H123" s="10"/>
      <c r="I123" s="10"/>
      <c r="J123" s="23">
        <f t="shared" si="47"/>
        <v>0</v>
      </c>
      <c r="K123" s="10">
        <f t="shared" si="44"/>
        <v>0</v>
      </c>
      <c r="L123" s="12">
        <f t="shared" si="48"/>
        <v>0</v>
      </c>
      <c r="M123" s="13">
        <f t="shared" si="45"/>
        <v>0</v>
      </c>
      <c r="N123" s="13">
        <f t="shared" si="46"/>
        <v>0</v>
      </c>
      <c r="O123" s="10"/>
      <c r="P123" s="10"/>
      <c r="Q123" s="10"/>
      <c r="R123" s="10"/>
      <c r="S123" s="10"/>
    </row>
    <row r="124" spans="3:19" ht="20" customHeight="1" x14ac:dyDescent="0.3">
      <c r="C124" s="10"/>
      <c r="D124" s="10"/>
      <c r="E124" s="10"/>
      <c r="F124" s="10"/>
      <c r="G124" s="10"/>
      <c r="H124" s="10"/>
      <c r="I124" s="10"/>
      <c r="J124" s="23">
        <f t="shared" si="47"/>
        <v>0</v>
      </c>
      <c r="K124" s="10">
        <f t="shared" si="44"/>
        <v>0</v>
      </c>
      <c r="L124" s="12">
        <f t="shared" si="48"/>
        <v>0</v>
      </c>
      <c r="M124" s="13">
        <f t="shared" si="45"/>
        <v>0</v>
      </c>
      <c r="N124" s="13">
        <f t="shared" si="46"/>
        <v>0</v>
      </c>
      <c r="O124" s="10"/>
      <c r="P124" s="10"/>
      <c r="Q124" s="10"/>
      <c r="R124" s="10"/>
      <c r="S124" s="10"/>
    </row>
    <row r="125" spans="3:19" ht="20" customHeight="1" x14ac:dyDescent="0.3">
      <c r="C125" s="10"/>
      <c r="D125" s="10"/>
      <c r="E125" s="10"/>
      <c r="F125" s="10"/>
      <c r="G125" s="10"/>
      <c r="H125" s="10"/>
      <c r="I125" s="10"/>
      <c r="J125" s="23">
        <f t="shared" si="47"/>
        <v>0</v>
      </c>
      <c r="K125" s="10">
        <f t="shared" si="44"/>
        <v>0</v>
      </c>
      <c r="L125" s="12">
        <f t="shared" si="48"/>
        <v>0</v>
      </c>
      <c r="M125" s="13">
        <f t="shared" si="45"/>
        <v>0</v>
      </c>
      <c r="N125" s="13">
        <f t="shared" si="46"/>
        <v>0</v>
      </c>
      <c r="O125" s="10"/>
      <c r="P125" s="10"/>
      <c r="Q125" s="10"/>
      <c r="R125" s="10"/>
      <c r="S125" s="10"/>
    </row>
    <row r="126" spans="3:19" ht="20" customHeight="1" x14ac:dyDescent="0.3">
      <c r="C126" s="10"/>
      <c r="D126" s="10"/>
      <c r="E126" s="10"/>
      <c r="F126" s="10"/>
      <c r="G126" s="10"/>
      <c r="H126" s="10"/>
      <c r="I126" s="10"/>
      <c r="J126" s="23">
        <f t="shared" si="47"/>
        <v>0</v>
      </c>
      <c r="K126" s="10">
        <f t="shared" si="44"/>
        <v>0</v>
      </c>
      <c r="L126" s="12">
        <f t="shared" si="48"/>
        <v>0</v>
      </c>
      <c r="M126" s="13">
        <f t="shared" si="45"/>
        <v>0</v>
      </c>
      <c r="N126" s="13">
        <f t="shared" si="46"/>
        <v>0</v>
      </c>
      <c r="O126" s="10"/>
      <c r="P126" s="10"/>
      <c r="Q126" s="10"/>
      <c r="R126" s="10"/>
      <c r="S126" s="10"/>
    </row>
    <row r="127" spans="3:19" ht="20" customHeight="1" x14ac:dyDescent="0.3">
      <c r="C127" s="10"/>
      <c r="D127" s="10"/>
      <c r="E127" s="10"/>
      <c r="F127" s="10"/>
      <c r="G127" s="10"/>
      <c r="H127" s="10"/>
      <c r="I127" s="10"/>
      <c r="J127" s="23">
        <f t="shared" si="47"/>
        <v>0</v>
      </c>
      <c r="K127" s="10">
        <f t="shared" si="44"/>
        <v>0</v>
      </c>
      <c r="L127" s="12">
        <f t="shared" si="48"/>
        <v>0</v>
      </c>
      <c r="M127" s="13">
        <f t="shared" si="45"/>
        <v>0</v>
      </c>
      <c r="N127" s="13">
        <f t="shared" si="46"/>
        <v>0</v>
      </c>
      <c r="O127" s="10"/>
      <c r="P127" s="10"/>
      <c r="Q127" s="10"/>
      <c r="R127" s="10"/>
      <c r="S127" s="10"/>
    </row>
    <row r="128" spans="3:19" ht="20" customHeight="1" x14ac:dyDescent="0.3">
      <c r="C128" s="10"/>
      <c r="D128" s="10"/>
      <c r="E128" s="10"/>
      <c r="F128" s="10"/>
      <c r="G128" s="10"/>
      <c r="H128" s="10"/>
      <c r="I128" s="10"/>
      <c r="J128" s="23">
        <f t="shared" si="47"/>
        <v>0</v>
      </c>
      <c r="K128" s="10">
        <f t="shared" si="44"/>
        <v>0</v>
      </c>
      <c r="L128" s="12">
        <f t="shared" si="48"/>
        <v>0</v>
      </c>
      <c r="M128" s="13">
        <f t="shared" si="45"/>
        <v>0</v>
      </c>
      <c r="N128" s="13">
        <f t="shared" si="46"/>
        <v>0</v>
      </c>
      <c r="O128" s="10"/>
      <c r="P128" s="10"/>
      <c r="Q128" s="10"/>
      <c r="R128" s="10"/>
      <c r="S128" s="10"/>
    </row>
    <row r="129" spans="3:19" ht="20" customHeight="1" x14ac:dyDescent="0.3">
      <c r="C129" s="10"/>
      <c r="D129" s="10"/>
      <c r="E129" s="10"/>
      <c r="F129" s="10"/>
      <c r="G129" s="10"/>
      <c r="H129" s="10"/>
      <c r="I129" s="10"/>
      <c r="J129" s="23">
        <f t="shared" si="47"/>
        <v>0</v>
      </c>
      <c r="K129" s="10">
        <f t="shared" si="44"/>
        <v>0</v>
      </c>
      <c r="L129" s="12">
        <f t="shared" si="48"/>
        <v>0</v>
      </c>
      <c r="M129" s="13">
        <f t="shared" si="45"/>
        <v>0</v>
      </c>
      <c r="N129" s="13">
        <f t="shared" si="46"/>
        <v>0</v>
      </c>
      <c r="O129" s="10"/>
      <c r="P129" s="10"/>
      <c r="Q129" s="10"/>
      <c r="R129" s="10"/>
      <c r="S129" s="10"/>
    </row>
    <row r="130" spans="3:19" ht="20" customHeight="1" x14ac:dyDescent="0.3">
      <c r="C130" s="10"/>
      <c r="D130" s="10"/>
      <c r="E130" s="10"/>
      <c r="F130" s="10"/>
      <c r="G130" s="10"/>
      <c r="H130" s="10"/>
      <c r="I130" s="10"/>
      <c r="J130" s="23">
        <f t="shared" si="47"/>
        <v>0</v>
      </c>
      <c r="K130" s="10">
        <f t="shared" si="44"/>
        <v>0</v>
      </c>
      <c r="L130" s="12">
        <f t="shared" si="48"/>
        <v>0</v>
      </c>
      <c r="M130" s="13">
        <f t="shared" si="45"/>
        <v>0</v>
      </c>
      <c r="N130" s="13">
        <f t="shared" si="46"/>
        <v>0</v>
      </c>
      <c r="O130" s="10"/>
      <c r="P130" s="10"/>
      <c r="Q130" s="10"/>
      <c r="R130" s="10"/>
      <c r="S130" s="10"/>
    </row>
    <row r="131" spans="3:19" ht="20" customHeight="1" x14ac:dyDescent="0.3">
      <c r="C131" s="10"/>
      <c r="D131" s="10"/>
      <c r="E131" s="10"/>
      <c r="F131" s="10"/>
      <c r="G131" s="10"/>
      <c r="H131" s="10"/>
      <c r="I131" s="10"/>
      <c r="J131" s="23">
        <f t="shared" si="47"/>
        <v>0</v>
      </c>
      <c r="K131" s="10">
        <f t="shared" si="44"/>
        <v>0</v>
      </c>
      <c r="L131" s="12">
        <f t="shared" si="48"/>
        <v>0</v>
      </c>
      <c r="M131" s="13">
        <f t="shared" si="45"/>
        <v>0</v>
      </c>
      <c r="N131" s="13">
        <f t="shared" si="46"/>
        <v>0</v>
      </c>
      <c r="O131" s="10"/>
      <c r="P131" s="10"/>
      <c r="Q131" s="10"/>
      <c r="R131" s="10"/>
      <c r="S131" s="10"/>
    </row>
    <row r="132" spans="3:19" ht="20" customHeight="1" x14ac:dyDescent="0.3">
      <c r="C132" s="10"/>
      <c r="D132" s="10"/>
      <c r="E132" s="10"/>
      <c r="F132" s="10"/>
      <c r="G132" s="10"/>
      <c r="H132" s="10"/>
      <c r="I132" s="10"/>
      <c r="J132" s="23">
        <f t="shared" si="47"/>
        <v>0</v>
      </c>
      <c r="K132" s="10">
        <f t="shared" si="44"/>
        <v>0</v>
      </c>
      <c r="L132" s="12">
        <f t="shared" si="48"/>
        <v>0</v>
      </c>
      <c r="M132" s="13">
        <f t="shared" si="45"/>
        <v>0</v>
      </c>
      <c r="N132" s="13">
        <f t="shared" si="46"/>
        <v>0</v>
      </c>
      <c r="O132" s="10"/>
      <c r="P132" s="10"/>
      <c r="Q132" s="10"/>
      <c r="R132" s="10"/>
      <c r="S132" s="10"/>
    </row>
    <row r="133" spans="3:19" ht="20" customHeight="1" x14ac:dyDescent="0.3">
      <c r="C133" s="10"/>
      <c r="D133" s="10"/>
      <c r="E133" s="10"/>
      <c r="F133" s="10"/>
      <c r="G133" s="10"/>
      <c r="H133" s="10"/>
      <c r="I133" s="10"/>
      <c r="J133" s="23">
        <f t="shared" si="47"/>
        <v>0</v>
      </c>
      <c r="K133" s="10">
        <f t="shared" si="44"/>
        <v>0</v>
      </c>
      <c r="L133" s="12">
        <f t="shared" si="48"/>
        <v>0</v>
      </c>
      <c r="M133" s="13">
        <f t="shared" si="45"/>
        <v>0</v>
      </c>
      <c r="N133" s="13">
        <f t="shared" si="46"/>
        <v>0</v>
      </c>
      <c r="O133" s="10"/>
      <c r="P133" s="10"/>
      <c r="Q133" s="10"/>
      <c r="R133" s="10"/>
      <c r="S133" s="10"/>
    </row>
    <row r="134" spans="3:19" ht="20" customHeight="1" x14ac:dyDescent="0.3">
      <c r="C134" s="10"/>
      <c r="D134" s="10"/>
      <c r="E134" s="10"/>
      <c r="F134" s="10"/>
      <c r="G134" s="10"/>
      <c r="H134" s="10"/>
      <c r="I134" s="10"/>
      <c r="J134" s="23">
        <f t="shared" si="47"/>
        <v>0</v>
      </c>
      <c r="K134" s="10">
        <f t="shared" si="44"/>
        <v>0</v>
      </c>
      <c r="L134" s="12">
        <f t="shared" si="48"/>
        <v>0</v>
      </c>
      <c r="M134" s="13">
        <f t="shared" si="45"/>
        <v>0</v>
      </c>
      <c r="N134" s="13">
        <f t="shared" si="46"/>
        <v>0</v>
      </c>
      <c r="O134" s="10"/>
      <c r="P134" s="10"/>
      <c r="Q134" s="10"/>
      <c r="R134" s="10"/>
      <c r="S134" s="10"/>
    </row>
    <row r="135" spans="3:19" ht="20" customHeight="1" x14ac:dyDescent="0.3">
      <c r="C135" s="10"/>
      <c r="D135" s="10"/>
      <c r="E135" s="10"/>
      <c r="F135" s="10"/>
      <c r="G135" s="10"/>
      <c r="H135" s="10"/>
      <c r="I135" s="10"/>
      <c r="J135" s="23">
        <f t="shared" si="47"/>
        <v>0</v>
      </c>
      <c r="K135" s="10">
        <f t="shared" si="44"/>
        <v>0</v>
      </c>
      <c r="L135" s="12">
        <f t="shared" si="48"/>
        <v>0</v>
      </c>
      <c r="M135" s="13">
        <f t="shared" si="45"/>
        <v>0</v>
      </c>
      <c r="N135" s="13">
        <f t="shared" si="46"/>
        <v>0</v>
      </c>
      <c r="O135" s="10"/>
      <c r="P135" s="10"/>
      <c r="Q135" s="10"/>
      <c r="R135" s="10"/>
      <c r="S135" s="10"/>
    </row>
    <row r="136" spans="3:19" ht="20" customHeight="1" x14ac:dyDescent="0.3">
      <c r="C136" s="10"/>
      <c r="D136" s="10"/>
      <c r="E136" s="10"/>
      <c r="F136" s="10"/>
      <c r="G136" s="10"/>
      <c r="H136" s="10"/>
      <c r="I136" s="10"/>
      <c r="J136" s="23">
        <f t="shared" si="47"/>
        <v>0</v>
      </c>
      <c r="K136" s="10">
        <f t="shared" si="44"/>
        <v>0</v>
      </c>
      <c r="L136" s="12">
        <f t="shared" si="48"/>
        <v>0</v>
      </c>
      <c r="M136" s="13">
        <f t="shared" si="45"/>
        <v>0</v>
      </c>
      <c r="N136" s="13">
        <f t="shared" si="46"/>
        <v>0</v>
      </c>
      <c r="O136" s="10"/>
      <c r="P136" s="10"/>
      <c r="Q136" s="10"/>
      <c r="R136" s="10"/>
      <c r="S136" s="10"/>
    </row>
    <row r="137" spans="3:19" ht="20" customHeight="1" x14ac:dyDescent="0.3">
      <c r="C137" s="10"/>
      <c r="D137" s="10"/>
      <c r="E137" s="10"/>
      <c r="F137" s="10"/>
      <c r="G137" s="10"/>
      <c r="H137" s="10"/>
      <c r="I137" s="10"/>
      <c r="J137" s="23">
        <f t="shared" si="47"/>
        <v>0</v>
      </c>
      <c r="K137" s="10">
        <f t="shared" si="44"/>
        <v>0</v>
      </c>
      <c r="L137" s="12">
        <f t="shared" si="48"/>
        <v>0</v>
      </c>
      <c r="M137" s="13">
        <f t="shared" si="45"/>
        <v>0</v>
      </c>
      <c r="N137" s="13">
        <f t="shared" si="46"/>
        <v>0</v>
      </c>
      <c r="O137" s="10"/>
      <c r="P137" s="10"/>
      <c r="Q137" s="10"/>
      <c r="R137" s="10"/>
      <c r="S137" s="10"/>
    </row>
    <row r="138" spans="3:19" ht="20" customHeight="1" x14ac:dyDescent="0.3">
      <c r="C138" s="10"/>
      <c r="D138" s="10"/>
      <c r="E138" s="10"/>
      <c r="F138" s="10"/>
      <c r="G138" s="10"/>
      <c r="H138" s="10"/>
      <c r="I138" s="10"/>
      <c r="J138" s="23">
        <f t="shared" si="47"/>
        <v>0</v>
      </c>
      <c r="K138" s="10">
        <f t="shared" si="44"/>
        <v>0</v>
      </c>
      <c r="L138" s="12">
        <f t="shared" si="48"/>
        <v>0</v>
      </c>
      <c r="M138" s="13">
        <f t="shared" si="45"/>
        <v>0</v>
      </c>
      <c r="N138" s="13">
        <f t="shared" si="46"/>
        <v>0</v>
      </c>
      <c r="O138" s="10"/>
      <c r="P138" s="10"/>
      <c r="Q138" s="10"/>
      <c r="R138" s="10"/>
      <c r="S138" s="10"/>
    </row>
    <row r="139" spans="3:19" ht="20" customHeight="1" x14ac:dyDescent="0.3">
      <c r="C139" s="10"/>
      <c r="D139" s="10"/>
      <c r="E139" s="10"/>
      <c r="F139" s="10"/>
      <c r="G139" s="10"/>
      <c r="H139" s="10"/>
      <c r="I139" s="10"/>
      <c r="J139" s="23">
        <f t="shared" si="47"/>
        <v>0</v>
      </c>
      <c r="K139" s="10">
        <f t="shared" si="44"/>
        <v>0</v>
      </c>
      <c r="L139" s="12">
        <f t="shared" si="48"/>
        <v>0</v>
      </c>
      <c r="M139" s="13">
        <f t="shared" si="45"/>
        <v>0</v>
      </c>
      <c r="N139" s="13">
        <f t="shared" si="46"/>
        <v>0</v>
      </c>
      <c r="O139" s="10"/>
      <c r="P139" s="10"/>
      <c r="Q139" s="10"/>
      <c r="R139" s="10"/>
      <c r="S139" s="10"/>
    </row>
    <row r="140" spans="3:19" ht="20" customHeight="1" x14ac:dyDescent="0.3">
      <c r="C140" s="10"/>
      <c r="D140" s="10"/>
      <c r="E140" s="10"/>
      <c r="F140" s="10"/>
      <c r="G140" s="10"/>
      <c r="H140" s="10"/>
      <c r="I140" s="10"/>
      <c r="J140" s="23">
        <f t="shared" si="47"/>
        <v>0</v>
      </c>
      <c r="K140" s="10">
        <f t="shared" si="44"/>
        <v>0</v>
      </c>
      <c r="L140" s="12">
        <f t="shared" si="48"/>
        <v>0</v>
      </c>
      <c r="M140" s="13">
        <f t="shared" si="45"/>
        <v>0</v>
      </c>
      <c r="N140" s="13">
        <f t="shared" si="46"/>
        <v>0</v>
      </c>
      <c r="O140" s="10"/>
      <c r="P140" s="10"/>
      <c r="Q140" s="10"/>
      <c r="R140" s="10"/>
      <c r="S140" s="10"/>
    </row>
    <row r="141" spans="3:19" ht="20" customHeight="1" x14ac:dyDescent="0.3">
      <c r="C141" s="10"/>
      <c r="D141" s="10"/>
      <c r="E141" s="10"/>
      <c r="F141" s="10"/>
      <c r="G141" s="10"/>
      <c r="H141" s="10"/>
      <c r="I141" s="10"/>
      <c r="J141" s="23">
        <f t="shared" si="47"/>
        <v>0</v>
      </c>
      <c r="K141" s="10">
        <f t="shared" si="44"/>
        <v>0</v>
      </c>
      <c r="L141" s="12">
        <f t="shared" si="48"/>
        <v>0</v>
      </c>
      <c r="M141" s="13">
        <f t="shared" si="45"/>
        <v>0</v>
      </c>
      <c r="N141" s="13">
        <f t="shared" si="46"/>
        <v>0</v>
      </c>
      <c r="O141" s="10"/>
      <c r="P141" s="10"/>
      <c r="Q141" s="10"/>
      <c r="R141" s="10"/>
      <c r="S141" s="10"/>
    </row>
    <row r="142" spans="3:19" ht="20" customHeight="1" x14ac:dyDescent="0.3">
      <c r="C142" s="10"/>
      <c r="D142" s="10"/>
      <c r="E142" s="10"/>
      <c r="F142" s="10"/>
      <c r="G142" s="10"/>
      <c r="H142" s="10"/>
      <c r="I142" s="10"/>
      <c r="J142" s="23">
        <f t="shared" si="47"/>
        <v>0</v>
      </c>
      <c r="K142" s="10">
        <f t="shared" si="44"/>
        <v>0</v>
      </c>
      <c r="L142" s="12">
        <f t="shared" si="48"/>
        <v>0</v>
      </c>
      <c r="M142" s="13">
        <f t="shared" si="45"/>
        <v>0</v>
      </c>
      <c r="N142" s="13">
        <f t="shared" si="46"/>
        <v>0</v>
      </c>
      <c r="O142" s="10"/>
      <c r="P142" s="10"/>
      <c r="Q142" s="10"/>
      <c r="R142" s="10"/>
      <c r="S142" s="10"/>
    </row>
    <row r="143" spans="3:19" ht="20" customHeight="1" x14ac:dyDescent="0.3">
      <c r="C143" s="10"/>
      <c r="D143" s="10"/>
      <c r="E143" s="10"/>
      <c r="F143" s="10"/>
      <c r="G143" s="10"/>
      <c r="H143" s="10"/>
      <c r="I143" s="10"/>
      <c r="J143" s="23">
        <f t="shared" si="47"/>
        <v>0</v>
      </c>
      <c r="K143" s="10">
        <f t="shared" si="44"/>
        <v>0</v>
      </c>
      <c r="L143" s="12">
        <f t="shared" si="48"/>
        <v>0</v>
      </c>
      <c r="M143" s="13">
        <f t="shared" si="45"/>
        <v>0</v>
      </c>
      <c r="N143" s="13">
        <f t="shared" si="46"/>
        <v>0</v>
      </c>
      <c r="O143" s="10"/>
      <c r="P143" s="10"/>
      <c r="Q143" s="10"/>
      <c r="R143" s="10"/>
      <c r="S143" s="10"/>
    </row>
    <row r="144" spans="3:19" ht="20" customHeight="1" x14ac:dyDescent="0.3">
      <c r="C144" s="10"/>
      <c r="D144" s="10"/>
      <c r="E144" s="10"/>
      <c r="F144" s="10"/>
      <c r="G144" s="10"/>
      <c r="H144" s="10"/>
      <c r="I144" s="10"/>
      <c r="J144" s="23">
        <f t="shared" si="47"/>
        <v>0</v>
      </c>
      <c r="K144" s="10">
        <f t="shared" si="44"/>
        <v>0</v>
      </c>
      <c r="L144" s="12">
        <f t="shared" si="48"/>
        <v>0</v>
      </c>
      <c r="M144" s="13">
        <f t="shared" si="45"/>
        <v>0</v>
      </c>
      <c r="N144" s="13">
        <f t="shared" si="46"/>
        <v>0</v>
      </c>
      <c r="O144" s="10"/>
      <c r="P144" s="10"/>
      <c r="Q144" s="10"/>
      <c r="R144" s="10"/>
      <c r="S144" s="10"/>
    </row>
    <row r="145" spans="3:19" ht="20" customHeight="1" x14ac:dyDescent="0.3">
      <c r="C145" s="10"/>
      <c r="D145" s="10"/>
      <c r="E145" s="10"/>
      <c r="F145" s="10"/>
      <c r="G145" s="10"/>
      <c r="H145" s="10"/>
      <c r="I145" s="10"/>
      <c r="J145" s="23">
        <f t="shared" si="47"/>
        <v>0</v>
      </c>
      <c r="K145" s="10">
        <f t="shared" si="44"/>
        <v>0</v>
      </c>
      <c r="L145" s="12">
        <f t="shared" si="48"/>
        <v>0</v>
      </c>
      <c r="M145" s="13">
        <f t="shared" si="45"/>
        <v>0</v>
      </c>
      <c r="N145" s="13">
        <f t="shared" si="46"/>
        <v>0</v>
      </c>
      <c r="O145" s="10"/>
      <c r="P145" s="10"/>
      <c r="Q145" s="10"/>
      <c r="R145" s="10"/>
      <c r="S145" s="10"/>
    </row>
    <row r="146" spans="3:19" ht="20" customHeight="1" x14ac:dyDescent="0.3">
      <c r="C146" s="10"/>
      <c r="D146" s="10"/>
      <c r="E146" s="10"/>
      <c r="F146" s="10"/>
      <c r="G146" s="10"/>
      <c r="H146" s="10"/>
      <c r="I146" s="10"/>
      <c r="J146" s="23">
        <f t="shared" si="47"/>
        <v>0</v>
      </c>
      <c r="K146" s="10">
        <f t="shared" si="44"/>
        <v>0</v>
      </c>
      <c r="L146" s="12">
        <f t="shared" si="48"/>
        <v>0</v>
      </c>
      <c r="M146" s="13">
        <f t="shared" si="45"/>
        <v>0</v>
      </c>
      <c r="N146" s="13">
        <f t="shared" si="46"/>
        <v>0</v>
      </c>
      <c r="O146" s="10"/>
      <c r="P146" s="10"/>
      <c r="Q146" s="10"/>
      <c r="R146" s="10"/>
      <c r="S146" s="10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tabSelected="1" workbookViewId="0">
      <selection activeCell="A19" sqref="A19"/>
    </sheetView>
  </sheetViews>
  <sheetFormatPr defaultColWidth="9" defaultRowHeight="14" x14ac:dyDescent="0.3"/>
  <cols>
    <col min="1" max="1" width="23.83203125" customWidth="1"/>
    <col min="2" max="2" width="19" customWidth="1"/>
    <col min="8" max="8" width="19" customWidth="1"/>
    <col min="9" max="9" width="21.25" customWidth="1"/>
  </cols>
  <sheetData>
    <row r="1" spans="1:14" s="2" customFormat="1" ht="20" customHeight="1" x14ac:dyDescent="0.3">
      <c r="A1" s="3" t="s">
        <v>38</v>
      </c>
      <c r="B1" s="3" t="s">
        <v>39</v>
      </c>
      <c r="C1" s="4" t="s">
        <v>41</v>
      </c>
      <c r="D1" s="5" t="s">
        <v>42</v>
      </c>
      <c r="E1" s="6" t="s">
        <v>43</v>
      </c>
      <c r="F1" s="7" t="s">
        <v>45</v>
      </c>
      <c r="G1" s="7" t="s">
        <v>46</v>
      </c>
      <c r="H1" s="8" t="s">
        <v>47</v>
      </c>
      <c r="I1" s="3" t="s">
        <v>48</v>
      </c>
      <c r="J1" s="3" t="s">
        <v>49</v>
      </c>
    </row>
    <row r="2" spans="1:14" s="2" customFormat="1" ht="20" customHeight="1" x14ac:dyDescent="0.3">
      <c r="A2" s="32" t="s">
        <v>290</v>
      </c>
      <c r="B2" s="4" t="s">
        <v>235</v>
      </c>
      <c r="C2" s="4">
        <v>9</v>
      </c>
      <c r="D2" s="4">
        <v>6</v>
      </c>
      <c r="E2" s="4">
        <v>4</v>
      </c>
      <c r="F2" s="10">
        <v>4</v>
      </c>
      <c r="G2" s="10">
        <v>4</v>
      </c>
      <c r="H2" s="26" t="s">
        <v>265</v>
      </c>
      <c r="I2" s="10"/>
      <c r="J2" s="10"/>
      <c r="K2" s="10"/>
      <c r="L2" s="12"/>
      <c r="M2" s="13"/>
      <c r="N2" s="13"/>
    </row>
    <row r="3" spans="1:14" s="2" customFormat="1" ht="20" customHeight="1" x14ac:dyDescent="0.3">
      <c r="A3" s="4" t="s">
        <v>208</v>
      </c>
      <c r="B3" s="4" t="s">
        <v>207</v>
      </c>
      <c r="C3" s="4">
        <v>9.6</v>
      </c>
      <c r="D3" s="4">
        <v>7</v>
      </c>
      <c r="E3" s="4">
        <v>4.8</v>
      </c>
      <c r="F3" s="10">
        <v>5</v>
      </c>
      <c r="G3" s="10">
        <v>4</v>
      </c>
      <c r="H3" s="26" t="s">
        <v>266</v>
      </c>
      <c r="I3" s="10"/>
      <c r="J3" s="10"/>
      <c r="K3" s="10"/>
      <c r="L3" s="12"/>
      <c r="M3" s="13"/>
      <c r="N3" s="13"/>
    </row>
    <row r="4" spans="1:14" s="2" customFormat="1" ht="20" customHeight="1" x14ac:dyDescent="0.3">
      <c r="A4" s="4" t="s">
        <v>209</v>
      </c>
      <c r="B4" s="4" t="s">
        <v>210</v>
      </c>
      <c r="C4" s="4">
        <v>8</v>
      </c>
      <c r="D4" s="4">
        <v>12</v>
      </c>
      <c r="E4" s="4">
        <v>4</v>
      </c>
      <c r="F4" s="10">
        <v>5</v>
      </c>
      <c r="G4" s="10">
        <v>4</v>
      </c>
      <c r="H4" s="26" t="s">
        <v>268</v>
      </c>
      <c r="I4" s="10"/>
      <c r="J4" s="10"/>
      <c r="K4" s="10"/>
      <c r="L4" s="12"/>
      <c r="M4" s="13"/>
      <c r="N4" s="13"/>
    </row>
    <row r="5" spans="1:14" s="2" customFormat="1" ht="20" customHeight="1" x14ac:dyDescent="0.3">
      <c r="A5" s="33" t="s">
        <v>264</v>
      </c>
      <c r="B5" s="30" t="s">
        <v>262</v>
      </c>
      <c r="C5" s="30">
        <v>9</v>
      </c>
      <c r="D5" s="30">
        <v>12</v>
      </c>
      <c r="E5" s="30">
        <v>6</v>
      </c>
      <c r="F5" s="10">
        <v>4</v>
      </c>
      <c r="G5" s="10">
        <v>5</v>
      </c>
      <c r="H5" s="26" t="s">
        <v>269</v>
      </c>
      <c r="I5" s="10"/>
      <c r="J5" s="10"/>
      <c r="K5" s="10"/>
      <c r="L5" s="12"/>
      <c r="M5" s="13"/>
      <c r="N5" s="13"/>
    </row>
    <row r="6" spans="1:14" s="2" customFormat="1" ht="20" customHeight="1" x14ac:dyDescent="0.3">
      <c r="A6" s="30" t="s">
        <v>259</v>
      </c>
      <c r="B6" s="30" t="s">
        <v>236</v>
      </c>
      <c r="C6" s="30">
        <v>12</v>
      </c>
      <c r="D6" s="30">
        <v>5</v>
      </c>
      <c r="E6" s="30">
        <v>6.5</v>
      </c>
      <c r="F6" s="10">
        <v>4</v>
      </c>
      <c r="G6" s="10">
        <v>5</v>
      </c>
      <c r="H6" s="10" t="s">
        <v>182</v>
      </c>
      <c r="I6" s="11" t="s">
        <v>174</v>
      </c>
      <c r="J6" s="26" t="s">
        <v>271</v>
      </c>
      <c r="K6" s="10"/>
      <c r="L6" s="12"/>
      <c r="M6" s="13"/>
      <c r="N6" s="13"/>
    </row>
    <row r="7" spans="1:14" s="2" customFormat="1" ht="20" customHeight="1" x14ac:dyDescent="0.3">
      <c r="A7" s="4" t="s">
        <v>214</v>
      </c>
      <c r="B7" s="4" t="s">
        <v>215</v>
      </c>
      <c r="C7" s="4">
        <v>14</v>
      </c>
      <c r="D7" s="4">
        <v>6</v>
      </c>
      <c r="E7" s="4">
        <v>7</v>
      </c>
      <c r="F7" s="10">
        <v>6</v>
      </c>
      <c r="G7" s="10">
        <v>5</v>
      </c>
      <c r="H7" s="11" t="s">
        <v>157</v>
      </c>
      <c r="I7" s="11" t="s">
        <v>148</v>
      </c>
      <c r="J7" s="10"/>
      <c r="K7" s="10"/>
      <c r="L7" s="12"/>
      <c r="M7" s="13"/>
      <c r="N7" s="13"/>
    </row>
    <row r="8" spans="1:14" s="2" customFormat="1" ht="20" customHeight="1" x14ac:dyDescent="0.3">
      <c r="A8" s="4" t="s">
        <v>292</v>
      </c>
      <c r="B8" s="29" t="s">
        <v>291</v>
      </c>
      <c r="C8" s="4">
        <v>17</v>
      </c>
      <c r="D8" s="4">
        <v>2</v>
      </c>
      <c r="E8" s="4">
        <v>7</v>
      </c>
      <c r="F8" s="10">
        <v>6</v>
      </c>
      <c r="G8" s="10">
        <v>6</v>
      </c>
      <c r="H8" s="26" t="s">
        <v>293</v>
      </c>
      <c r="I8" s="26" t="s">
        <v>269</v>
      </c>
      <c r="J8" s="10"/>
      <c r="K8" s="10"/>
      <c r="L8" s="12"/>
      <c r="M8" s="13"/>
      <c r="N8" s="13"/>
    </row>
    <row r="9" spans="1:14" s="2" customFormat="1" ht="20" customHeight="1" x14ac:dyDescent="0.3">
      <c r="A9" s="30" t="s">
        <v>239</v>
      </c>
      <c r="B9" s="30" t="s">
        <v>238</v>
      </c>
      <c r="C9" s="30">
        <v>15.5</v>
      </c>
      <c r="D9" s="30">
        <v>6</v>
      </c>
      <c r="E9" s="30">
        <v>8</v>
      </c>
      <c r="F9" s="10">
        <v>6</v>
      </c>
      <c r="G9" s="10">
        <v>6</v>
      </c>
      <c r="H9" s="26" t="s">
        <v>272</v>
      </c>
      <c r="I9" s="26" t="s">
        <v>227</v>
      </c>
      <c r="J9" s="10"/>
      <c r="K9" s="10"/>
      <c r="L9" s="12"/>
      <c r="M9" s="13"/>
      <c r="N9" s="13"/>
    </row>
    <row r="10" spans="1:14" s="2" customFormat="1" ht="20" customHeight="1" x14ac:dyDescent="0.3">
      <c r="A10" s="4" t="s">
        <v>257</v>
      </c>
      <c r="B10" s="4" t="s">
        <v>240</v>
      </c>
      <c r="C10" s="4">
        <v>14</v>
      </c>
      <c r="D10" s="4">
        <v>5</v>
      </c>
      <c r="E10" s="4">
        <v>7.5</v>
      </c>
      <c r="F10" s="10">
        <v>6</v>
      </c>
      <c r="G10" s="10">
        <v>7</v>
      </c>
      <c r="H10" s="26" t="s">
        <v>273</v>
      </c>
      <c r="I10" s="10"/>
      <c r="J10" s="10"/>
      <c r="K10" s="10"/>
      <c r="L10" s="12"/>
      <c r="M10" s="13"/>
      <c r="N10" s="13"/>
    </row>
    <row r="11" spans="1:14" s="2" customFormat="1" ht="20" customHeight="1" x14ac:dyDescent="0.3">
      <c r="A11" s="30" t="s">
        <v>260</v>
      </c>
      <c r="B11" s="30" t="s">
        <v>242</v>
      </c>
      <c r="C11" s="30">
        <v>17</v>
      </c>
      <c r="D11" s="30">
        <v>7</v>
      </c>
      <c r="E11" s="30">
        <v>9.5</v>
      </c>
      <c r="F11" s="10">
        <v>7</v>
      </c>
      <c r="G11" s="10">
        <v>7</v>
      </c>
      <c r="H11" s="26" t="s">
        <v>289</v>
      </c>
      <c r="I11" s="10"/>
      <c r="J11" s="10"/>
      <c r="K11" s="10"/>
      <c r="L11" s="12"/>
      <c r="M11" s="13"/>
      <c r="N11" s="13"/>
    </row>
    <row r="12" spans="1:14" s="2" customFormat="1" ht="20" customHeight="1" x14ac:dyDescent="0.3">
      <c r="A12" s="30" t="s">
        <v>260</v>
      </c>
      <c r="B12" s="30" t="s">
        <v>247</v>
      </c>
      <c r="C12" s="30">
        <v>18</v>
      </c>
      <c r="D12" s="30">
        <v>10</v>
      </c>
      <c r="E12" s="30">
        <v>9.8000000000000007</v>
      </c>
      <c r="F12" s="10">
        <v>7</v>
      </c>
      <c r="G12" s="10">
        <v>7</v>
      </c>
      <c r="H12" s="26" t="s">
        <v>274</v>
      </c>
      <c r="I12" s="26" t="s">
        <v>231</v>
      </c>
      <c r="J12" s="10"/>
      <c r="K12" s="10"/>
      <c r="L12" s="12"/>
      <c r="M12" s="13"/>
      <c r="N12" s="13"/>
    </row>
    <row r="13" spans="1:14" s="2" customFormat="1" ht="20" customHeight="1" x14ac:dyDescent="0.3">
      <c r="A13" s="4" t="s">
        <v>256</v>
      </c>
      <c r="B13" s="4" t="s">
        <v>244</v>
      </c>
      <c r="C13" s="4">
        <v>20</v>
      </c>
      <c r="D13" s="4">
        <v>10</v>
      </c>
      <c r="E13" s="4">
        <v>10</v>
      </c>
      <c r="F13" s="10">
        <v>8</v>
      </c>
      <c r="G13" s="10">
        <v>8</v>
      </c>
      <c r="H13" s="26" t="s">
        <v>275</v>
      </c>
      <c r="I13" s="26" t="s">
        <v>276</v>
      </c>
      <c r="J13" s="10"/>
      <c r="K13" s="10"/>
      <c r="L13" s="12"/>
      <c r="M13" s="13"/>
      <c r="N13" s="13"/>
    </row>
    <row r="14" spans="1:14" s="2" customFormat="1" ht="20" customHeight="1" x14ac:dyDescent="0.3">
      <c r="A14" s="4" t="s">
        <v>255</v>
      </c>
      <c r="B14" s="4" t="s">
        <v>245</v>
      </c>
      <c r="C14" s="4">
        <v>23</v>
      </c>
      <c r="D14" s="4">
        <v>8</v>
      </c>
      <c r="E14" s="4">
        <v>11</v>
      </c>
      <c r="F14" s="10">
        <v>8</v>
      </c>
      <c r="G14" s="10">
        <v>8</v>
      </c>
      <c r="H14" s="26" t="s">
        <v>266</v>
      </c>
      <c r="I14" s="26" t="s">
        <v>279</v>
      </c>
      <c r="J14" s="10"/>
      <c r="K14" s="10"/>
      <c r="L14" s="12"/>
      <c r="M14" s="13"/>
      <c r="N14" s="13"/>
    </row>
    <row r="15" spans="1:14" s="2" customFormat="1" ht="20" customHeight="1" x14ac:dyDescent="0.3">
      <c r="A15" s="4" t="s">
        <v>254</v>
      </c>
      <c r="B15" s="4" t="s">
        <v>248</v>
      </c>
      <c r="C15" s="4">
        <v>17</v>
      </c>
      <c r="D15" s="4">
        <v>18</v>
      </c>
      <c r="E15" s="4">
        <v>10</v>
      </c>
      <c r="F15" s="10">
        <v>8</v>
      </c>
      <c r="G15" s="10">
        <v>8</v>
      </c>
      <c r="H15" s="26" t="s">
        <v>278</v>
      </c>
      <c r="I15" s="26" t="s">
        <v>277</v>
      </c>
      <c r="J15" s="10"/>
      <c r="K15" s="10"/>
      <c r="L15" s="12"/>
      <c r="M15" s="13"/>
      <c r="N15" s="13"/>
    </row>
    <row r="16" spans="1:14" x14ac:dyDescent="0.3">
      <c r="A16" s="30" t="s">
        <v>252</v>
      </c>
      <c r="B16" s="30" t="s">
        <v>251</v>
      </c>
      <c r="C16" s="30">
        <v>25</v>
      </c>
      <c r="D16" s="30">
        <v>9</v>
      </c>
      <c r="E16" s="30">
        <v>11.5</v>
      </c>
      <c r="F16" s="10">
        <v>8</v>
      </c>
      <c r="G16" s="10">
        <v>9</v>
      </c>
      <c r="H16" s="26" t="s">
        <v>280</v>
      </c>
      <c r="I16" s="26" t="s">
        <v>281</v>
      </c>
      <c r="J16" s="26" t="s">
        <v>282</v>
      </c>
      <c r="K16" s="10"/>
      <c r="L16" s="12"/>
      <c r="M16" s="13"/>
      <c r="N16" s="13"/>
    </row>
    <row r="17" spans="1:14" x14ac:dyDescent="0.3">
      <c r="A17" s="4" t="s">
        <v>253</v>
      </c>
      <c r="B17" s="4" t="s">
        <v>250</v>
      </c>
      <c r="C17" s="4">
        <v>27</v>
      </c>
      <c r="D17" s="4">
        <v>14</v>
      </c>
      <c r="E17" s="4">
        <v>12</v>
      </c>
      <c r="F17" s="10">
        <v>8</v>
      </c>
      <c r="G17" s="10">
        <v>9</v>
      </c>
      <c r="H17" s="26" t="s">
        <v>267</v>
      </c>
      <c r="I17" s="26" t="s">
        <v>270</v>
      </c>
      <c r="J17" s="26" t="s">
        <v>283</v>
      </c>
      <c r="K17" s="10"/>
      <c r="L17" s="12"/>
      <c r="M17" s="13"/>
      <c r="N17" s="13"/>
    </row>
    <row r="18" spans="1:14" x14ac:dyDescent="0.3">
      <c r="A18" s="30" t="s">
        <v>261</v>
      </c>
      <c r="B18" s="30" t="s">
        <v>204</v>
      </c>
      <c r="C18" s="30">
        <v>12</v>
      </c>
      <c r="D18" s="30">
        <v>30</v>
      </c>
      <c r="E18" s="30">
        <v>10.5</v>
      </c>
      <c r="F18" s="10">
        <v>9</v>
      </c>
      <c r="G18" s="10">
        <v>9</v>
      </c>
      <c r="H18" s="26" t="s">
        <v>273</v>
      </c>
      <c r="I18" s="10"/>
      <c r="J18" s="10"/>
      <c r="K18" s="10"/>
      <c r="L18" s="12"/>
      <c r="M18" s="13"/>
      <c r="N18" s="13"/>
    </row>
    <row r="19" spans="1:14" x14ac:dyDescent="0.3">
      <c r="A19" s="33" t="s">
        <v>263</v>
      </c>
      <c r="B19" s="30" t="s">
        <v>212</v>
      </c>
      <c r="C19" s="30">
        <v>10</v>
      </c>
      <c r="D19" s="30">
        <v>15</v>
      </c>
      <c r="E19" s="30">
        <v>7</v>
      </c>
      <c r="F19" s="10">
        <v>9</v>
      </c>
      <c r="G19" s="10">
        <v>10</v>
      </c>
      <c r="H19" s="26" t="s">
        <v>284</v>
      </c>
      <c r="I19" s="26" t="s">
        <v>285</v>
      </c>
      <c r="J19" s="10"/>
      <c r="K19" s="10"/>
      <c r="L19" s="12"/>
      <c r="M19" s="13"/>
      <c r="N19" s="13"/>
    </row>
    <row r="20" spans="1:14" x14ac:dyDescent="0.3">
      <c r="A20" s="4" t="s">
        <v>258</v>
      </c>
      <c r="B20" s="4" t="s">
        <v>205</v>
      </c>
      <c r="C20" s="4">
        <v>25</v>
      </c>
      <c r="D20" s="4">
        <v>13</v>
      </c>
      <c r="E20" s="4">
        <v>12.7</v>
      </c>
      <c r="F20" s="10">
        <v>9</v>
      </c>
      <c r="G20" s="10">
        <v>10</v>
      </c>
      <c r="H20" s="31" t="s">
        <v>286</v>
      </c>
      <c r="I20" s="26" t="s">
        <v>287</v>
      </c>
      <c r="J20" s="26" t="s">
        <v>288</v>
      </c>
      <c r="K20" s="10"/>
      <c r="L20" s="12"/>
      <c r="M20" s="13"/>
      <c r="N20" s="13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topLeftCell="G1" workbookViewId="0">
      <selection activeCell="Z27" sqref="Z27"/>
    </sheetView>
  </sheetViews>
  <sheetFormatPr defaultColWidth="9" defaultRowHeight="14" x14ac:dyDescent="0.3"/>
  <sheetData>
    <row r="5" spans="4:19" x14ac:dyDescent="0.3">
      <c r="F5" s="1" t="s">
        <v>189</v>
      </c>
      <c r="G5" s="1" t="s">
        <v>190</v>
      </c>
      <c r="J5" s="1" t="s">
        <v>191</v>
      </c>
      <c r="M5" s="1" t="s">
        <v>192</v>
      </c>
    </row>
    <row r="6" spans="4:19" x14ac:dyDescent="0.3">
      <c r="F6" s="1" t="s">
        <v>193</v>
      </c>
      <c r="G6" s="1" t="s">
        <v>193</v>
      </c>
      <c r="H6" s="1" t="s">
        <v>194</v>
      </c>
      <c r="I6" s="1" t="s">
        <v>195</v>
      </c>
      <c r="J6" s="1" t="s">
        <v>196</v>
      </c>
      <c r="K6" s="1" t="s">
        <v>194</v>
      </c>
      <c r="L6" s="1" t="s">
        <v>195</v>
      </c>
      <c r="M6" s="1" t="s">
        <v>194</v>
      </c>
      <c r="N6" s="1" t="s">
        <v>195</v>
      </c>
      <c r="Q6" s="28">
        <v>1</v>
      </c>
    </row>
    <row r="7" spans="4:19" x14ac:dyDescent="0.3">
      <c r="D7" s="1" t="s">
        <v>197</v>
      </c>
      <c r="E7" s="1" t="s">
        <v>22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3">
      <c r="E8" s="1" t="s">
        <v>30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3">
      <c r="D10" s="1" t="s">
        <v>198</v>
      </c>
      <c r="E10" s="1" t="s">
        <v>22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 s="27">
        <f>R10/R7</f>
        <v>1.3204349514563101</v>
      </c>
    </row>
    <row r="11" spans="4:19" x14ac:dyDescent="0.3">
      <c r="E11" s="1" t="s">
        <v>30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3">
      <c r="E12" s="1" t="s">
        <v>199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-0.5</v>
      </c>
    </row>
    <row r="13" spans="4:19" x14ac:dyDescent="0.3">
      <c r="E13" s="1" t="s">
        <v>200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 s="28">
        <v>2</v>
      </c>
    </row>
    <row r="14" spans="4:19" x14ac:dyDescent="0.3">
      <c r="Q14">
        <f>Q13*$O$7</f>
        <v>12.5</v>
      </c>
      <c r="R14">
        <f>Q14*(1+(Q15*0.02))</f>
        <v>13.25</v>
      </c>
    </row>
    <row r="15" spans="4:19" x14ac:dyDescent="0.3">
      <c r="Q15">
        <f>Q13*$O$8</f>
        <v>3</v>
      </c>
    </row>
    <row r="17" spans="17:19" x14ac:dyDescent="0.3">
      <c r="Q17">
        <f>Q13*$O$10</f>
        <v>16.7</v>
      </c>
      <c r="R17">
        <f>Q17*(1+(Q18*0.02))</f>
        <v>17.301200000000001</v>
      </c>
      <c r="S17" s="27">
        <f>R17/R14</f>
        <v>1.30575094339623</v>
      </c>
    </row>
    <row r="18" spans="17:19" x14ac:dyDescent="0.3">
      <c r="Q18">
        <f>Q13*$O$11</f>
        <v>1.8</v>
      </c>
    </row>
    <row r="20" spans="17:19" x14ac:dyDescent="0.3">
      <c r="Q20" s="28">
        <v>5</v>
      </c>
    </row>
    <row r="21" spans="17:19" x14ac:dyDescent="0.3">
      <c r="Q21">
        <f>Q20*$O$7</f>
        <v>31.25</v>
      </c>
      <c r="R21">
        <f>Q21*(1+(Q22*0.02))</f>
        <v>35.9375</v>
      </c>
    </row>
    <row r="22" spans="17:19" x14ac:dyDescent="0.3">
      <c r="Q22">
        <f>Q20*$O$8</f>
        <v>7.5</v>
      </c>
    </row>
    <row r="24" spans="17:19" x14ac:dyDescent="0.3">
      <c r="Q24">
        <f>Q20*$O$10</f>
        <v>41.75</v>
      </c>
      <c r="R24">
        <f>Q24*(1+(Q25*0.02))</f>
        <v>45.5075</v>
      </c>
      <c r="S24" s="27">
        <f>R24/R21</f>
        <v>1.2662956521739099</v>
      </c>
    </row>
    <row r="25" spans="17:19" x14ac:dyDescent="0.3">
      <c r="Q25">
        <f>Q20*$O$11</f>
        <v>4.5</v>
      </c>
    </row>
    <row r="27" spans="17:19" x14ac:dyDescent="0.3">
      <c r="Q27" s="28">
        <v>10</v>
      </c>
    </row>
    <row r="28" spans="17:19" x14ac:dyDescent="0.3">
      <c r="Q28">
        <f>Q27*$O$7</f>
        <v>62.5</v>
      </c>
      <c r="R28">
        <f>Q28*(1+(Q29*0.02))</f>
        <v>81.25</v>
      </c>
    </row>
    <row r="29" spans="17:19" x14ac:dyDescent="0.3">
      <c r="Q29">
        <f>Q27*$O$8</f>
        <v>15</v>
      </c>
    </row>
    <row r="31" spans="17:19" x14ac:dyDescent="0.3">
      <c r="Q31">
        <f>Q27*$O$10</f>
        <v>83.5</v>
      </c>
      <c r="R31">
        <f>Q31*(1+(Q32*0.02))</f>
        <v>98.53</v>
      </c>
      <c r="S31" s="27">
        <f>R31/R28</f>
        <v>1.2126769230769201</v>
      </c>
    </row>
    <row r="32" spans="17:19" x14ac:dyDescent="0.3">
      <c r="Q32">
        <f>Q27*$O$11</f>
        <v>9</v>
      </c>
    </row>
    <row r="34" spans="17:19" x14ac:dyDescent="0.3">
      <c r="Q34" s="28">
        <v>15</v>
      </c>
    </row>
    <row r="35" spans="17:19" x14ac:dyDescent="0.3">
      <c r="Q35">
        <f>Q34*$O$7</f>
        <v>93.75</v>
      </c>
      <c r="R35">
        <f>Q35*(1+(Q36*0.02))</f>
        <v>135.9375</v>
      </c>
    </row>
    <row r="36" spans="17:19" x14ac:dyDescent="0.3">
      <c r="Q36">
        <f>Q34*$O$8</f>
        <v>22.5</v>
      </c>
    </row>
    <row r="38" spans="17:19" x14ac:dyDescent="0.3">
      <c r="Q38">
        <f>Q34*$O$10</f>
        <v>125.25</v>
      </c>
      <c r="R38">
        <f>Q38*(1+(Q39*0.02))</f>
        <v>159.0675</v>
      </c>
      <c r="S38" s="27">
        <f>R38/R35</f>
        <v>1.17015172413793</v>
      </c>
    </row>
    <row r="39" spans="17:19" x14ac:dyDescent="0.3">
      <c r="Q39">
        <f>Q34*$O$11</f>
        <v>13.5</v>
      </c>
    </row>
    <row r="41" spans="17:19" x14ac:dyDescent="0.3">
      <c r="Q41" s="28">
        <v>20</v>
      </c>
    </row>
    <row r="42" spans="17:19" x14ac:dyDescent="0.3">
      <c r="Q42">
        <f>Q41*$O$7</f>
        <v>125</v>
      </c>
      <c r="R42">
        <f>Q42*(1+(Q43*0.02))</f>
        <v>200</v>
      </c>
    </row>
    <row r="43" spans="17:19" x14ac:dyDescent="0.3">
      <c r="Q43">
        <f>Q41*$O$8</f>
        <v>30</v>
      </c>
    </row>
    <row r="45" spans="17:19" x14ac:dyDescent="0.3">
      <c r="Q45">
        <f>Q41*$O$10</f>
        <v>167</v>
      </c>
      <c r="R45">
        <f>Q45*(1+(Q46*0.02))</f>
        <v>227.12</v>
      </c>
      <c r="S45" s="27">
        <f>R45/R42</f>
        <v>1.1355999999999999</v>
      </c>
    </row>
    <row r="46" spans="17:19" x14ac:dyDescent="0.3">
      <c r="Q46">
        <f>Q41*$O$11</f>
        <v>18</v>
      </c>
    </row>
    <row r="48" spans="17:19" x14ac:dyDescent="0.3">
      <c r="Q48" s="28">
        <v>25</v>
      </c>
    </row>
    <row r="49" spans="17:19" x14ac:dyDescent="0.3">
      <c r="Q49">
        <f>Q48*$O$7</f>
        <v>156.25</v>
      </c>
      <c r="R49">
        <f>Q49*(1+(Q50*0.02))</f>
        <v>273.4375</v>
      </c>
    </row>
    <row r="50" spans="17:19" x14ac:dyDescent="0.3">
      <c r="Q50">
        <f>Q48*$O$8</f>
        <v>37.5</v>
      </c>
    </row>
    <row r="52" spans="17:19" x14ac:dyDescent="0.3">
      <c r="Q52">
        <f>Q48*$O$10</f>
        <v>208.75</v>
      </c>
      <c r="R52">
        <f>Q52*(1+(Q53*0.02))</f>
        <v>302.6875</v>
      </c>
      <c r="S52" s="27">
        <f>R52/R49</f>
        <v>1.10697142857143</v>
      </c>
    </row>
    <row r="53" spans="17:19" x14ac:dyDescent="0.3">
      <c r="Q53">
        <f>Q48*$O$11</f>
        <v>22.5</v>
      </c>
    </row>
    <row r="55" spans="17:19" x14ac:dyDescent="0.3">
      <c r="Q55" s="28">
        <v>35</v>
      </c>
    </row>
    <row r="56" spans="17:19" x14ac:dyDescent="0.3">
      <c r="Q56">
        <f>Q55*$O$7</f>
        <v>218.75</v>
      </c>
      <c r="R56">
        <f>Q56*(1+(Q57*0.02))</f>
        <v>448.4375</v>
      </c>
    </row>
    <row r="57" spans="17:19" x14ac:dyDescent="0.3">
      <c r="Q57">
        <f>Q55*$O$8</f>
        <v>52.5</v>
      </c>
    </row>
    <row r="59" spans="17:19" x14ac:dyDescent="0.3">
      <c r="Q59">
        <f>Q55*$O$10</f>
        <v>292.25</v>
      </c>
      <c r="R59">
        <f>Q59*(1+(Q60*0.02))</f>
        <v>476.36750000000001</v>
      </c>
      <c r="S59" s="27">
        <f>R59/R56</f>
        <v>1.0622829268292699</v>
      </c>
    </row>
    <row r="60" spans="17:19" x14ac:dyDescent="0.3">
      <c r="Q60">
        <f>Q55*$O$11</f>
        <v>31.5</v>
      </c>
    </row>
    <row r="62" spans="17:19" x14ac:dyDescent="0.3">
      <c r="Q62" s="28">
        <v>40</v>
      </c>
    </row>
    <row r="63" spans="17:19" x14ac:dyDescent="0.3">
      <c r="Q63">
        <f>Q62*$O$7</f>
        <v>250</v>
      </c>
      <c r="R63">
        <f>Q63*(1+(Q64*0.02))</f>
        <v>550</v>
      </c>
    </row>
    <row r="64" spans="17:19" x14ac:dyDescent="0.3">
      <c r="Q64">
        <f>Q62*$O$8</f>
        <v>60</v>
      </c>
    </row>
    <row r="66" spans="17:19" x14ac:dyDescent="0.3">
      <c r="Q66">
        <f>Q62*$O$10</f>
        <v>334</v>
      </c>
      <c r="R66">
        <f>Q66*(1+(Q67*0.02))</f>
        <v>574.48</v>
      </c>
      <c r="S66" s="27">
        <f>R66/R63</f>
        <v>1.0445090909090899</v>
      </c>
    </row>
    <row r="67" spans="17:19" x14ac:dyDescent="0.3">
      <c r="Q67">
        <f>Q62*$O$11</f>
        <v>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2025-12-28T08:33:15Z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2052-12.1.0.23542</vt:lpwstr>
  </property>
</Properties>
</file>