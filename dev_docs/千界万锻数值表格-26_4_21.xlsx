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FC49CA77-7BB2-470C-94C9-EE0CD95FB092}" xr6:coauthVersionLast="47" xr6:coauthVersionMax="47" xr10:uidLastSave="{00000000-0000-0000-0000-000000000000}"/>
  <bookViews>
    <workbookView xWindow="30612" yWindow="-6720" windowWidth="30936" windowHeight="18816" activeTab="1" xr2:uid="{00000000-000D-0000-FFFF-FFFF00000000}"/>
  </bookViews>
  <sheets>
    <sheet name="数值分配" sheetId="3" r:id="rId1"/>
    <sheet name="维度" sheetId="4" r:id="rId2"/>
    <sheet name="普通攻击" sheetId="1" r:id="rId3"/>
  </sheets>
  <calcPr calcId="181029"/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D45" i="1" l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<sst xmlns="http://schemas.openxmlformats.org/spreadsheetml/2006/main" count="334" uniqueCount="200">
  <si>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</si>
  <si>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</si>
  <si>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</si>
  <si>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</si>
  <si>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</si>
  <si>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</si>
  <si>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</si>
  <si>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</si>
  <si>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</si>
  <si>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</si>
  <si>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</si>
  <si>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</si>
  <si>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</si>
  <si>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</si>
  <si>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</si>
  <si>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</si>
  <si>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</si>
  <si>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</si>
  <si>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</si>
  <si>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</si>
  <si>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</si>
  <si>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</si>
  <si>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</si>
  <si>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</si>
  <si>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</si>
  <si>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</si>
  <si>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</si>
  <si>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</si>
  <si>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</si>
  <si>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</si>
  <si>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</si>
  <si>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</si>
  <si>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</si>
  <si>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</si>
  <si>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</si>
  <si>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</si>
  <si>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</si>
  <si>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</si>
  <si>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</si>
  <si>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</si>
  <si>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</si>
  <si>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</si>
  <si>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</si>
  <si>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</si>
  <si>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</si>
  <si>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</si>
  <si>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</si>
  <si>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</si>
  <si>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</si>
  <si>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</si>
  <si>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</si>
  <si>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</si>
  <si>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</si>
  <si>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</si>
  <si>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</si>
  <si>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</si>
  <si>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</si>
  <si>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</si>
  <si>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</si>
  <si>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</si>
  <si>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</si>
  <si>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</si>
  <si>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</si>
  <si>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</si>
  <si>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</si>
  <si>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</si>
  <si>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</si>
  <si>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</si>
  <si>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</si>
  <si>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</si>
  <si>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</si>
  <si>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</si>
  <si>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</si>
  <si>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</si>
  <si>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</si>
  <si>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</si>
  <si>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</si>
  <si>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</si>
  <si>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</si>
  <si>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</si>
  <si>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</si>
  <si>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</si>
  <si>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</si>
  <si>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</si>
  <si>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</si>
  <si>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</si>
  <si>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</si>
  <si>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</si>
  <si>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</si>
  <si>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</si>
  <si>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</si>
  <si>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</si>
  <si>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</si>
  <si>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</si>
  <si>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</si>
  <si>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</si>
  <si>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</si>
  <si>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</si>
  <si>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</si>
  <si>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</si>
  <si>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</si>
  <si>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r>
      <t>N</t>
    </r>
    <r>
      <rPr>
        <sz val="11"/>
        <color theme="1"/>
        <rFont val="宋体"/>
        <family val="3"/>
        <charset val="134"/>
        <scheme val="minor"/>
      </rPr>
      <t>A</t>
    </r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</si>
  <si>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</si>
  <si>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</si>
  <si>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</si>
  <si>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</si>
  <si>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</si>
  <si>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</si>
  <si>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</si>
  <si>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</si>
  <si>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</si>
  <si>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</si>
  <si>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</si>
  <si>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</si>
  <si>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</si>
  <si>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</si>
  <si>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</si>
  <si>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</si>
  <si>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</si>
  <si>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</si>
  <si>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</si>
  <si>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</si>
  <si>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</si>
  <si>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</si>
  <si>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</si>
  <si>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</si>
  <si>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</si>
  <si>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</si>
  <si>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</si>
  <si>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</si>
  <si>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</si>
  <si>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</si>
  <si>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</si>
  <si>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</si>
  <si>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</si>
  <si>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</si>
  <si>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</si>
  <si>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</si>
  <si>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</si>
  <si>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</si>
  <si>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</si>
  <si>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</si>
  <si>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</si>
  <si>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</si>
  <si>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</si>
  <si>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</si>
  <si>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</si>
  <si>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</si>
  <si>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</si>
  <si>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</si>
  <si>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</si>
  <si>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</si>
  <si>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</si>
  <si>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</si>
  <si>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</si>
  <si>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</si>
  <si>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</si>
  <si>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</si>
  <si>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</si>
  <si>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</si>
  <si>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</si>
  <si>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紫金</t>
    <phoneticPr fontId="7" type="noConversion"/>
  </si>
  <si>
    <t>暮色（牛头雪怪后）</t>
    <phoneticPr fontId="7" type="noConversion"/>
  </si>
  <si>
    <t>暮色（骑士前）</t>
    <phoneticPr fontId="7" type="noConversion"/>
  </si>
  <si>
    <t>牛头人肉</t>
    <phoneticPr fontId="7" type="noConversion"/>
  </si>
  <si>
    <t>恶魂泪</t>
    <phoneticPr fontId="7" type="noConversion"/>
  </si>
  <si>
    <t>砷铅铁</t>
  </si>
  <si>
    <t>极地毛坯</t>
    <phoneticPr fontId="7" type="noConversion"/>
  </si>
  <si>
    <t>硫磺块</t>
    <phoneticPr fontId="7" type="noConversion"/>
  </si>
  <si>
    <t>远古金属粒</t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</si>
  <si>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</si>
  <si>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</si>
  <si>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</si>
  <si>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</si>
  <si>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</si>
  <si>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</si>
  <si>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</si>
  <si>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</si>
  <si>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</si>
  <si>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</si>
  <si>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</si>
  <si>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</si>
  <si>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紫菘结晶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</si>
  <si>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</si>
  <si>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</si>
  <si>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</si>
  <si>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</si>
  <si>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</si>
  <si>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</si>
  <si>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</si>
  <si>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</si>
  <si>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</si>
  <si>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</si>
  <si>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</si>
  <si>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</si>
  <si>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金</t>
    <phoneticPr fontId="7" type="noConversion"/>
  </si>
  <si>
    <t>攻击</t>
    <phoneticPr fontId="7" type="noConversion"/>
  </si>
  <si>
    <t>生命</t>
    <phoneticPr fontId="7" type="noConversion"/>
  </si>
  <si>
    <t>MS3C</t>
    <phoneticPr fontId="7" type="noConversion"/>
  </si>
  <si>
    <t>下界合金碎片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</si>
</sst>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6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N31" sqref="N31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70" t="s">
        <v>46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21"/>
      <c r="R3" s="21"/>
      <c r="S3" s="21"/>
      <c r="T3" s="21"/>
      <c r="V3" s="70" t="s">
        <v>52</v>
      </c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70"/>
      <c r="AT3" s="70"/>
      <c r="AU3" s="70"/>
      <c r="AV3" s="70"/>
      <c r="AW3" s="70"/>
      <c r="AX3" s="70"/>
      <c r="AY3" s="70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71" t="s">
        <v>57</v>
      </c>
      <c r="W4" s="71"/>
      <c r="X4" s="71"/>
      <c r="Y4" s="71"/>
      <c r="Z4" s="71"/>
      <c r="AA4" s="71"/>
      <c r="AB4" s="21"/>
      <c r="AC4" s="21"/>
      <c r="AD4" s="71" t="s">
        <v>59</v>
      </c>
      <c r="AE4" s="71"/>
      <c r="AF4" s="71"/>
      <c r="AG4" s="71"/>
      <c r="AH4" s="21"/>
      <c r="AI4" s="21"/>
      <c r="AJ4" s="21"/>
      <c r="AK4" s="21"/>
      <c r="AL4" s="71" t="s">
        <v>60</v>
      </c>
      <c r="AM4" s="71"/>
      <c r="AN4" s="71"/>
      <c r="AO4" s="71"/>
      <c r="AP4" s="71"/>
      <c r="AQ4" s="71"/>
      <c r="AR4" s="21"/>
      <c r="AS4" s="21"/>
      <c r="AT4" s="71" t="s">
        <v>61</v>
      </c>
      <c r="AU4" s="71"/>
      <c r="AV4" s="71"/>
      <c r="AW4" s="71"/>
      <c r="AX4" s="71"/>
      <c r="AY4" s="71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72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U6" s="8">
        <v>0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72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U7" s="7" t="s">
        <v>93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72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U8" s="8">
        <v>1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72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73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73"/>
    </row>
    <row r="12" spans="2:52" ht="24" customHeight="1" x14ac:dyDescent="0.15">
      <c r="B12" s="73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72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72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72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72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72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72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72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dimension ref="A1:U24"/>
  <sheetViews>
    <sheetView tabSelected="1" workbookViewId="0">
      <pane xSplit="1" topLeftCell="B1" activePane="topRight" state="frozen"/>
      <selection pane="topRight" activeCell="B8" sqref="B8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84" t="s">
        <v>96</v>
      </c>
      <c r="F1" s="84"/>
      <c r="G1" s="84"/>
      <c r="H1" s="84"/>
      <c r="I1" s="37" t="s">
        <v>159</v>
      </c>
      <c r="K1" s="85" t="s">
        <v>97</v>
      </c>
      <c r="L1" s="85"/>
      <c r="M1" s="85"/>
      <c r="N1" s="85"/>
      <c r="O1" s="38" t="s">
        <v>159</v>
      </c>
      <c r="Q1" s="86" t="s">
        <v>98</v>
      </c>
      <c r="R1" s="86"/>
      <c r="S1" s="86"/>
      <c r="T1" s="86"/>
      <c r="U1" s="39" t="s">
        <v>159</v>
      </c>
    </row>
    <row r="2" spans="1:21" ht="18" customHeight="1" x14ac:dyDescent="0.15">
      <c r="A2" s="40" t="s">
        <v>158</v>
      </c>
      <c r="B2" s="87" t="s">
        <v>157</v>
      </c>
      <c r="C2" s="87"/>
      <c r="D2" s="87"/>
      <c r="E2" s="102" t="s">
        <v>196</v>
      </c>
      <c r="F2" s="102"/>
      <c r="G2" s="102" t="s">
        <v>197</v>
      </c>
      <c r="H2" s="102"/>
      <c r="K2" s="102" t="s">
        <v>196</v>
      </c>
      <c r="L2" s="102"/>
      <c r="M2" s="102" t="s">
        <v>197</v>
      </c>
      <c r="N2" s="102"/>
      <c r="Q2" s="102" t="s">
        <v>196</v>
      </c>
      <c r="R2" s="102"/>
      <c r="S2" s="102" t="s">
        <v>197</v>
      </c>
      <c r="T2" s="102"/>
    </row>
    <row r="3" spans="1:21" ht="18" customHeight="1" x14ac:dyDescent="0.15">
      <c r="A3" s="41">
        <v>0.1</v>
      </c>
      <c r="B3" s="3" t="s">
        <v>102</v>
      </c>
      <c r="C3" s="3" t="s">
        <v>122</v>
      </c>
      <c r="D3" s="1"/>
      <c r="E3" s="88"/>
      <c r="F3" s="89"/>
      <c r="G3" s="89"/>
      <c r="H3" s="90"/>
      <c r="I3" s="100" t="s">
        <v>129</v>
      </c>
      <c r="K3" s="88"/>
      <c r="L3" s="89"/>
      <c r="M3" s="89"/>
      <c r="N3" s="90"/>
      <c r="O3" s="45" t="s">
        <v>129</v>
      </c>
      <c r="Q3" s="88"/>
      <c r="R3" s="89"/>
      <c r="S3" s="89"/>
      <c r="T3" s="90"/>
      <c r="U3" s="82" t="s">
        <v>156</v>
      </c>
    </row>
    <row r="4" spans="1:21" ht="18" customHeight="1" x14ac:dyDescent="0.15">
      <c r="A4" s="42">
        <v>1.1000000000000001</v>
      </c>
      <c r="B4" s="3" t="s">
        <v>103</v>
      </c>
      <c r="C4" s="1"/>
      <c r="D4" s="1"/>
      <c r="E4" s="91"/>
      <c r="F4" s="92"/>
      <c r="G4" s="92"/>
      <c r="H4" s="93"/>
      <c r="I4" s="101"/>
      <c r="K4" s="49" t="s">
        <v>133</v>
      </c>
      <c r="L4" s="49"/>
      <c r="M4" s="49" t="s">
        <v>134</v>
      </c>
      <c r="N4" s="47"/>
      <c r="O4" s="97">
        <v>0</v>
      </c>
      <c r="Q4" s="94"/>
      <c r="R4" s="95"/>
      <c r="S4" s="95"/>
      <c r="T4" s="96"/>
      <c r="U4" s="83"/>
    </row>
    <row r="5" spans="1:21" ht="18" customHeight="1" x14ac:dyDescent="0.15">
      <c r="A5" s="42">
        <v>1.2</v>
      </c>
      <c r="B5" s="3" t="s">
        <v>163</v>
      </c>
      <c r="C5" s="3" t="s">
        <v>104</v>
      </c>
      <c r="D5" s="3" t="s">
        <v>105</v>
      </c>
      <c r="E5" s="46" t="s">
        <v>195</v>
      </c>
      <c r="F5" s="46" t="s">
        <v>130</v>
      </c>
      <c r="G5" s="46" t="s">
        <v>131</v>
      </c>
      <c r="H5" s="48" t="s">
        <v>132</v>
      </c>
      <c r="I5" s="77">
        <v>0</v>
      </c>
      <c r="K5" s="48" t="s">
        <v>193</v>
      </c>
      <c r="L5" s="48"/>
      <c r="M5" s="48" t="s">
        <v>194</v>
      </c>
      <c r="N5" s="47"/>
      <c r="O5" s="98"/>
      <c r="Q5" s="94"/>
      <c r="R5" s="95"/>
      <c r="S5" s="95"/>
      <c r="T5" s="96"/>
      <c r="U5" s="83"/>
    </row>
    <row r="6" spans="1:21" ht="18" customHeight="1" x14ac:dyDescent="0.15">
      <c r="A6" s="42">
        <v>1.3</v>
      </c>
      <c r="B6" s="3" t="s">
        <v>106</v>
      </c>
      <c r="C6" s="3"/>
      <c r="D6" s="1"/>
      <c r="E6" s="48"/>
      <c r="F6" s="47"/>
      <c r="G6" s="48" t="s">
        <v>160</v>
      </c>
      <c r="H6" s="47"/>
      <c r="I6" s="77"/>
      <c r="K6" s="48" t="s">
        <v>165</v>
      </c>
      <c r="L6" s="48"/>
      <c r="M6" s="48"/>
      <c r="N6" s="47"/>
      <c r="O6" s="98"/>
      <c r="Q6" s="91"/>
      <c r="R6" s="92"/>
      <c r="S6" s="92"/>
      <c r="T6" s="93"/>
      <c r="U6" s="83"/>
    </row>
    <row r="7" spans="1:21" ht="18" customHeight="1" x14ac:dyDescent="0.15">
      <c r="A7" s="42">
        <v>1.4</v>
      </c>
      <c r="B7" s="3" t="s">
        <v>107</v>
      </c>
      <c r="C7" s="3" t="s">
        <v>162</v>
      </c>
      <c r="D7" s="1"/>
      <c r="E7" s="48" t="s">
        <v>161</v>
      </c>
      <c r="F7" s="48"/>
      <c r="G7" s="48" t="s">
        <v>164</v>
      </c>
      <c r="H7" s="47"/>
      <c r="I7" s="77"/>
      <c r="K7" s="48" t="s">
        <v>167</v>
      </c>
      <c r="L7" s="48"/>
      <c r="M7" s="47" t="s">
        <v>166</v>
      </c>
      <c r="N7" s="47"/>
      <c r="O7" s="99"/>
      <c r="Q7" s="54" t="s">
        <v>199</v>
      </c>
      <c r="R7" s="54" t="s">
        <v>135</v>
      </c>
      <c r="S7" s="54" t="s">
        <v>153</v>
      </c>
      <c r="T7" s="51" t="s">
        <v>173</v>
      </c>
      <c r="U7" s="78">
        <v>1</v>
      </c>
    </row>
    <row r="8" spans="1:21" ht="18" customHeight="1" x14ac:dyDescent="0.15">
      <c r="A8" s="43">
        <v>2.1</v>
      </c>
      <c r="B8" s="3" t="s">
        <v>111</v>
      </c>
      <c r="C8" s="3" t="s">
        <v>108</v>
      </c>
      <c r="D8" s="3" t="s">
        <v>109</v>
      </c>
      <c r="E8" s="48" t="s">
        <v>168</v>
      </c>
      <c r="F8" s="48"/>
      <c r="G8" s="47" t="s">
        <v>169</v>
      </c>
      <c r="H8" s="47"/>
      <c r="I8" s="77"/>
      <c r="K8" s="53" t="s">
        <v>136</v>
      </c>
      <c r="L8" s="53" t="s">
        <v>137</v>
      </c>
      <c r="M8" s="53" t="s">
        <v>154</v>
      </c>
      <c r="N8" s="51" t="s">
        <v>170</v>
      </c>
      <c r="O8" s="78">
        <v>1</v>
      </c>
      <c r="Q8" s="51" t="s">
        <v>171</v>
      </c>
      <c r="R8" s="51"/>
      <c r="S8" s="51" t="s">
        <v>172</v>
      </c>
      <c r="T8" s="51" t="s">
        <v>198</v>
      </c>
      <c r="U8" s="78"/>
    </row>
    <row r="9" spans="1:21" ht="18" customHeight="1" x14ac:dyDescent="0.15">
      <c r="A9" s="43">
        <v>2.2000000000000002</v>
      </c>
      <c r="B9" s="3" t="s">
        <v>110</v>
      </c>
      <c r="C9" s="3" t="s">
        <v>112</v>
      </c>
      <c r="D9" s="1"/>
      <c r="E9" s="50" t="s">
        <v>175</v>
      </c>
      <c r="F9" s="50" t="s">
        <v>174</v>
      </c>
      <c r="G9" s="50" t="s">
        <v>138</v>
      </c>
      <c r="H9" s="50" t="s">
        <v>139</v>
      </c>
      <c r="I9" s="78">
        <v>1</v>
      </c>
      <c r="K9" s="51" t="s">
        <v>176</v>
      </c>
      <c r="L9" s="51" t="s">
        <v>177</v>
      </c>
      <c r="M9" s="51" t="s">
        <v>178</v>
      </c>
      <c r="N9" s="51" t="s">
        <v>179</v>
      </c>
      <c r="O9" s="78"/>
      <c r="Q9" s="33" t="s">
        <v>180</v>
      </c>
      <c r="R9" s="33"/>
      <c r="S9" s="33" t="s">
        <v>181</v>
      </c>
      <c r="T9" s="56"/>
      <c r="U9" s="79">
        <v>2</v>
      </c>
    </row>
    <row r="10" spans="1:21" ht="18" customHeight="1" x14ac:dyDescent="0.15">
      <c r="A10" s="43">
        <v>2.2999999999999998</v>
      </c>
      <c r="B10" s="3" t="s">
        <v>113</v>
      </c>
      <c r="C10" s="3"/>
      <c r="D10" s="1"/>
      <c r="E10" s="51" t="s">
        <v>182</v>
      </c>
      <c r="F10" s="52"/>
      <c r="G10" s="52"/>
      <c r="H10" s="52"/>
      <c r="I10" s="78"/>
      <c r="K10" s="57" t="s">
        <v>141</v>
      </c>
      <c r="L10" s="57"/>
      <c r="M10" s="57" t="s">
        <v>155</v>
      </c>
      <c r="N10" s="33" t="s">
        <v>140</v>
      </c>
      <c r="O10" s="79">
        <v>2</v>
      </c>
      <c r="Q10" s="33" t="s">
        <v>101</v>
      </c>
      <c r="R10" s="56"/>
      <c r="S10" s="56"/>
      <c r="T10" s="56"/>
      <c r="U10" s="79"/>
    </row>
    <row r="11" spans="1:21" ht="18" customHeight="1" x14ac:dyDescent="0.15">
      <c r="A11" s="65">
        <v>3.1</v>
      </c>
      <c r="B11" s="3" t="s">
        <v>114</v>
      </c>
      <c r="C11" s="3"/>
      <c r="D11" s="1"/>
      <c r="E11" s="55" t="s">
        <v>142</v>
      </c>
      <c r="F11" s="55" t="s">
        <v>143</v>
      </c>
      <c r="G11" s="55" t="s">
        <v>144</v>
      </c>
      <c r="H11" s="55" t="s">
        <v>145</v>
      </c>
      <c r="I11" s="79">
        <v>2</v>
      </c>
      <c r="K11" s="33"/>
      <c r="L11" s="56"/>
      <c r="M11" s="33" t="s">
        <v>184</v>
      </c>
      <c r="N11" s="56"/>
      <c r="O11" s="79"/>
      <c r="Q11" s="61" t="s">
        <v>183</v>
      </c>
      <c r="R11" s="61"/>
      <c r="S11" s="61" t="s">
        <v>185</v>
      </c>
      <c r="T11" s="59"/>
      <c r="U11" s="80">
        <v>3</v>
      </c>
    </row>
    <row r="12" spans="1:21" ht="18" customHeight="1" x14ac:dyDescent="0.15">
      <c r="A12" s="65">
        <v>3.2</v>
      </c>
      <c r="B12" s="3" t="s">
        <v>115</v>
      </c>
      <c r="C12" s="3" t="s">
        <v>116</v>
      </c>
      <c r="D12" s="1"/>
      <c r="E12" s="33"/>
      <c r="F12" s="56"/>
      <c r="G12" s="33" t="s">
        <v>186</v>
      </c>
      <c r="H12" s="56"/>
      <c r="I12" s="79"/>
      <c r="K12" s="33"/>
      <c r="L12" s="56"/>
      <c r="M12" s="33" t="s">
        <v>187</v>
      </c>
      <c r="N12" s="56"/>
      <c r="O12" s="79"/>
      <c r="Q12" s="69" t="s">
        <v>152</v>
      </c>
      <c r="R12" s="59"/>
      <c r="S12" s="59"/>
      <c r="T12" s="59"/>
      <c r="U12" s="80"/>
    </row>
    <row r="13" spans="1:21" ht="18" customHeight="1" x14ac:dyDescent="0.15">
      <c r="A13" s="65">
        <v>3.3</v>
      </c>
      <c r="B13" s="3" t="s">
        <v>117</v>
      </c>
      <c r="C13" s="3" t="s">
        <v>118</v>
      </c>
      <c r="D13" s="3" t="s">
        <v>123</v>
      </c>
      <c r="E13" s="33" t="s">
        <v>189</v>
      </c>
      <c r="F13" s="33"/>
      <c r="G13" s="33"/>
      <c r="H13" s="56"/>
      <c r="I13" s="79"/>
      <c r="K13" s="60" t="s">
        <v>146</v>
      </c>
      <c r="L13" s="60" t="s">
        <v>147</v>
      </c>
      <c r="M13" s="61" t="s">
        <v>188</v>
      </c>
      <c r="N13" s="61" t="s">
        <v>190</v>
      </c>
      <c r="O13" s="43">
        <v>3</v>
      </c>
      <c r="Q13" s="28" t="s">
        <v>191</v>
      </c>
      <c r="R13" s="28" t="s">
        <v>192</v>
      </c>
      <c r="S13" s="63"/>
      <c r="T13" s="63"/>
      <c r="U13" s="81">
        <v>4</v>
      </c>
    </row>
    <row r="14" spans="1:21" ht="18" customHeight="1" x14ac:dyDescent="0.15">
      <c r="A14" s="44">
        <v>4.0999999999999996</v>
      </c>
      <c r="B14" s="3" t="s">
        <v>119</v>
      </c>
      <c r="C14" s="3" t="s">
        <v>120</v>
      </c>
      <c r="D14" s="1"/>
      <c r="E14" s="66" t="s">
        <v>149</v>
      </c>
      <c r="F14" s="58"/>
      <c r="G14" s="61"/>
      <c r="H14" s="59"/>
      <c r="I14" s="80">
        <v>3</v>
      </c>
      <c r="K14" s="62"/>
      <c r="L14" s="62"/>
      <c r="M14" s="28" t="s">
        <v>148</v>
      </c>
      <c r="N14" s="63"/>
      <c r="O14" s="75">
        <v>4</v>
      </c>
      <c r="Q14" s="67" t="s">
        <v>152</v>
      </c>
      <c r="R14" s="63"/>
      <c r="S14" s="63"/>
      <c r="T14" s="63"/>
      <c r="U14" s="81"/>
    </row>
    <row r="15" spans="1:21" ht="18" customHeight="1" x14ac:dyDescent="0.15">
      <c r="A15" s="44">
        <v>4.2</v>
      </c>
      <c r="B15" s="3" t="s">
        <v>121</v>
      </c>
      <c r="C15" s="3"/>
      <c r="D15" s="1"/>
      <c r="E15" s="58" t="s">
        <v>150</v>
      </c>
      <c r="F15" s="59"/>
      <c r="G15" s="59"/>
      <c r="H15" s="59"/>
      <c r="I15" s="80"/>
      <c r="K15" s="62"/>
      <c r="L15" s="63"/>
      <c r="M15" s="28" t="s">
        <v>151</v>
      </c>
      <c r="N15" s="63"/>
      <c r="O15" s="76"/>
      <c r="Q15" s="68" t="s">
        <v>152</v>
      </c>
      <c r="R15" s="64"/>
      <c r="S15" s="64"/>
      <c r="T15" s="64"/>
      <c r="U15" s="44">
        <v>5</v>
      </c>
    </row>
    <row r="18" spans="2:4" ht="18" customHeight="1" x14ac:dyDescent="0.15">
      <c r="C18" s="74" t="s">
        <v>99</v>
      </c>
      <c r="D18" s="74"/>
    </row>
    <row r="19" spans="2:4" ht="18" customHeight="1" x14ac:dyDescent="0.15">
      <c r="B19" s="3" t="s">
        <v>100</v>
      </c>
      <c r="C19" s="3" t="s">
        <v>97</v>
      </c>
      <c r="D19" s="3" t="s">
        <v>98</v>
      </c>
    </row>
    <row r="20" spans="2:4" ht="18" customHeight="1" x14ac:dyDescent="0.15">
      <c r="B20" s="3" t="s">
        <v>124</v>
      </c>
      <c r="C20" s="3">
        <v>1.2</v>
      </c>
      <c r="D20" s="3">
        <v>1.1000000000000001</v>
      </c>
    </row>
    <row r="21" spans="2:4" ht="18" customHeight="1" x14ac:dyDescent="0.15">
      <c r="B21" s="3" t="s">
        <v>125</v>
      </c>
      <c r="C21" s="1">
        <v>2.1</v>
      </c>
      <c r="D21" s="1">
        <v>1.4</v>
      </c>
    </row>
    <row r="22" spans="2:4" ht="18" customHeight="1" x14ac:dyDescent="0.15">
      <c r="B22" s="3" t="s">
        <v>126</v>
      </c>
      <c r="C22" s="1">
        <v>3.1</v>
      </c>
      <c r="D22" s="1">
        <v>2.2999999999999998</v>
      </c>
    </row>
    <row r="23" spans="2:4" ht="18" customHeight="1" x14ac:dyDescent="0.15">
      <c r="B23" s="3" t="s">
        <v>127</v>
      </c>
      <c r="C23" s="1">
        <v>4.0999999999999996</v>
      </c>
      <c r="D23" s="1">
        <v>3.3</v>
      </c>
    </row>
    <row r="24" spans="2:4" ht="18" customHeight="1" x14ac:dyDescent="0.15">
      <c r="B24" s="3" t="s">
        <v>128</v>
      </c>
      <c r="C24" s="1">
        <v>4.2</v>
      </c>
      <c r="D24" s="3" t="s">
        <v>129</v>
      </c>
    </row>
  </sheetData>
  <mergeCells count="28">
    <mergeCell ref="E1:H1"/>
    <mergeCell ref="K1:N1"/>
    <mergeCell ref="Q1:T1"/>
    <mergeCell ref="B2:D2"/>
    <mergeCell ref="E3:H4"/>
    <mergeCell ref="Q3:T6"/>
    <mergeCell ref="O4:O7"/>
    <mergeCell ref="K3:N3"/>
    <mergeCell ref="I3:I4"/>
    <mergeCell ref="M2:N2"/>
    <mergeCell ref="Q2:R2"/>
    <mergeCell ref="S2:T2"/>
    <mergeCell ref="E2:F2"/>
    <mergeCell ref="G2:H2"/>
    <mergeCell ref="K2:L2"/>
    <mergeCell ref="U7:U8"/>
    <mergeCell ref="U9:U10"/>
    <mergeCell ref="U11:U12"/>
    <mergeCell ref="U13:U14"/>
    <mergeCell ref="U3:U6"/>
    <mergeCell ref="C18:D18"/>
    <mergeCell ref="O14:O15"/>
    <mergeCell ref="I5:I8"/>
    <mergeCell ref="I9:I10"/>
    <mergeCell ref="I11:I13"/>
    <mergeCell ref="I14:I15"/>
    <mergeCell ref="O8:O9"/>
    <mergeCell ref="O10:O12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13" t="s">
        <v>0</v>
      </c>
      <c r="B1" s="113"/>
      <c r="C1" s="113"/>
      <c r="D1" s="113"/>
      <c r="E1" s="113"/>
      <c r="G1" s="113" t="s">
        <v>42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03" t="s">
        <v>9</v>
      </c>
      <c r="B8" s="104"/>
      <c r="C8" s="104"/>
      <c r="D8" s="104"/>
      <c r="E8" s="104"/>
      <c r="F8" s="105"/>
      <c r="G8" s="4"/>
      <c r="I8" s="103" t="s">
        <v>10</v>
      </c>
      <c r="J8" s="104"/>
      <c r="K8" s="104"/>
      <c r="L8" s="104"/>
      <c r="M8" s="104"/>
      <c r="N8" s="105"/>
      <c r="O8" s="1"/>
      <c r="Q8" s="103" t="s">
        <v>11</v>
      </c>
      <c r="R8" s="104"/>
      <c r="S8" s="104"/>
      <c r="T8" s="104"/>
      <c r="U8" s="104"/>
      <c r="V8" s="105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09">
        <f>D10+D11+D12+D13</f>
        <v>2</v>
      </c>
      <c r="G10" s="74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09">
        <f>L10+L11+L12+L13+L14+L15+L16</f>
        <v>3.5</v>
      </c>
      <c r="O10" s="74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06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12"/>
      <c r="G11" s="74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12"/>
      <c r="O11" s="74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07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12"/>
      <c r="G12" s="74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12"/>
      <c r="O12" s="74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08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10"/>
      <c r="G13" s="74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12"/>
      <c r="O13" s="74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09">
        <f>D10+D11+D12+D14+D15</f>
        <v>3.09375</v>
      </c>
      <c r="G14" s="74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12"/>
      <c r="O14" s="74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10"/>
      <c r="G15" s="74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12"/>
      <c r="O15" s="74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10"/>
      <c r="O16" s="74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03" t="s">
        <v>29</v>
      </c>
      <c r="B20" s="104"/>
      <c r="C20" s="104"/>
      <c r="D20" s="104"/>
      <c r="E20" s="105"/>
      <c r="I20" s="103" t="s">
        <v>30</v>
      </c>
      <c r="J20" s="104"/>
      <c r="K20" s="104"/>
      <c r="L20" s="104"/>
      <c r="M20" s="104"/>
      <c r="N20" s="105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06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07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08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06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08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11" t="s">
        <v>43</v>
      </c>
      <c r="B30" s="104"/>
      <c r="C30" s="104"/>
      <c r="D30" s="104"/>
      <c r="E30" s="104"/>
      <c r="F30" s="105"/>
      <c r="G30" s="4"/>
      <c r="I30" s="111" t="s">
        <v>44</v>
      </c>
      <c r="J30" s="104"/>
      <c r="K30" s="104"/>
      <c r="L30" s="104"/>
      <c r="M30" s="104"/>
      <c r="N30" s="105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09">
        <f>D32+D33+D34+D35</f>
        <v>2.8634999999999997</v>
      </c>
      <c r="G32" s="74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09">
        <f>L32+L33+L34+L35+L36+L37+L38</f>
        <v>4.4731499999999995</v>
      </c>
      <c r="O32" s="74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12"/>
      <c r="G33" s="74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12"/>
      <c r="O33" s="74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12"/>
      <c r="G34" s="74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12"/>
      <c r="O34" s="74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10"/>
      <c r="G35" s="74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12"/>
      <c r="O35" s="74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09">
        <f>D32+D33+D34+D36+D37</f>
        <v>4.2640000000000002</v>
      </c>
      <c r="G36" s="74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12"/>
      <c r="O36" s="74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10"/>
      <c r="G37" s="74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12"/>
      <c r="O37" s="74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10"/>
      <c r="O38" s="74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03" t="s">
        <v>29</v>
      </c>
      <c r="B43" s="104"/>
      <c r="C43" s="104"/>
      <c r="D43" s="104"/>
      <c r="E43" s="105"/>
      <c r="I43" s="103" t="s">
        <v>30</v>
      </c>
      <c r="J43" s="104"/>
      <c r="K43" s="104"/>
      <c r="L43" s="104"/>
      <c r="M43" s="104"/>
      <c r="N43" s="105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06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07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08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06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08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2026-04-22T05:19:00Z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