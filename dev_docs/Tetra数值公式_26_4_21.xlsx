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AAC80A17-5747-4271-A82E-01B0EC68A2E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材料" sheetId="1" r:id="rId1"/>
    <sheet name="Sheet1" sheetId="4" r:id="rId2"/>
    <sheet name="SA" sheetId="2" r:id="rId3"/>
    <sheet name="护甲" sheetId="3" r:id="rId4"/>
  </sheets>
  <calcPr calcId="181029"/>
</workbook>
</file>

<file path=xl/calcChain.xml><?xml version="1.0" encoding="utf-8"?>
<calcChain xmlns="http://schemas.openxmlformats.org/spreadsheetml/2006/main">
  <c r="N74" i="1" l="1"/>
  <c r="M74" i="1"/>
  <c r="K74" i="1"/>
  <c r="J74" i="1"/>
  <c r="N87" i="1"/>
  <c r="M87" i="1"/>
  <c r="N82" i="1"/>
  <c r="M82" i="1"/>
  <c r="N79" i="1"/>
  <c r="M79" i="1"/>
  <c r="N78" i="1"/>
  <c r="M78" i="1"/>
  <c r="N90" i="1"/>
  <c r="M90" i="1"/>
  <c r="L74" i="1" l="1"/>
  <c r="M91" i="1"/>
  <c r="N91" i="1"/>
  <c r="M86" i="1"/>
  <c r="N86" i="1"/>
  <c r="M62" i="1"/>
  <c r="N62" i="1"/>
  <c r="Q67" i="3" l="1"/>
  <c r="S66" i="3"/>
  <c r="R66" i="3"/>
  <c r="Q66" i="3"/>
  <c r="Q64" i="3"/>
  <c r="R63" i="3"/>
  <c r="Q63" i="3"/>
  <c r="Q60" i="3"/>
  <c r="S59" i="3"/>
  <c r="R59" i="3"/>
  <c r="Q59" i="3"/>
  <c r="Q57" i="3"/>
  <c r="R56" i="3"/>
  <c r="Q56" i="3"/>
  <c r="Q53" i="3"/>
  <c r="S52" i="3"/>
  <c r="R52" i="3"/>
  <c r="Q52" i="3"/>
  <c r="Q50" i="3"/>
  <c r="R49" i="3"/>
  <c r="Q49" i="3"/>
  <c r="Q46" i="3"/>
  <c r="S45" i="3"/>
  <c r="R45" i="3"/>
  <c r="Q45" i="3"/>
  <c r="Q43" i="3"/>
  <c r="R42" i="3"/>
  <c r="Q42" i="3"/>
  <c r="Q39" i="3"/>
  <c r="S38" i="3"/>
  <c r="R38" i="3"/>
  <c r="Q38" i="3"/>
  <c r="Q36" i="3"/>
  <c r="R35" i="3"/>
  <c r="Q35" i="3"/>
  <c r="Q32" i="3"/>
  <c r="S31" i="3"/>
  <c r="R31" i="3"/>
  <c r="Q31" i="3"/>
  <c r="Q29" i="3"/>
  <c r="R28" i="3"/>
  <c r="Q28" i="3"/>
  <c r="Q25" i="3"/>
  <c r="S24" i="3"/>
  <c r="R24" i="3"/>
  <c r="Q24" i="3"/>
  <c r="Q22" i="3"/>
  <c r="R21" i="3"/>
  <c r="Q21" i="3"/>
  <c r="Q18" i="3"/>
  <c r="S17" i="3"/>
  <c r="R17" i="3"/>
  <c r="Q17" i="3"/>
  <c r="Q15" i="3"/>
  <c r="R14" i="3"/>
  <c r="Q14" i="3"/>
  <c r="O13" i="3"/>
  <c r="O12" i="3"/>
  <c r="Q11" i="3"/>
  <c r="O11" i="3"/>
  <c r="S10" i="3"/>
  <c r="R10" i="3"/>
  <c r="Q10" i="3"/>
  <c r="O10" i="3"/>
  <c r="Q8" i="3"/>
  <c r="O8" i="3"/>
  <c r="R7" i="3"/>
  <c r="Q7" i="3"/>
  <c r="O7" i="3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89" i="1"/>
  <c r="M89" i="1"/>
  <c r="N88" i="1"/>
  <c r="M88" i="1"/>
  <c r="N85" i="1"/>
  <c r="M85" i="1"/>
  <c r="N84" i="1"/>
  <c r="M84" i="1"/>
  <c r="N83" i="1"/>
  <c r="M83" i="1"/>
  <c r="N81" i="1"/>
  <c r="M81" i="1"/>
  <c r="N80" i="1"/>
  <c r="M80" i="1"/>
  <c r="N77" i="1"/>
  <c r="M77" i="1"/>
  <c r="N76" i="1"/>
  <c r="M76" i="1"/>
  <c r="N75" i="1"/>
  <c r="M75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6" i="1"/>
  <c r="I5" i="1"/>
  <c r="I4" i="1"/>
  <c r="I3" i="1"/>
  <c r="I2" i="1"/>
  <c r="K90" i="1" l="1"/>
  <c r="K79" i="1"/>
  <c r="K87" i="1"/>
  <c r="K82" i="1"/>
  <c r="K78" i="1"/>
  <c r="J87" i="1"/>
  <c r="L87" i="1" s="1"/>
  <c r="J82" i="1"/>
  <c r="L82" i="1" s="1"/>
  <c r="J79" i="1"/>
  <c r="L79" i="1" s="1"/>
  <c r="J78" i="1"/>
  <c r="L78" i="1" s="1"/>
  <c r="J90" i="1"/>
  <c r="L90" i="1" s="1"/>
  <c r="K62" i="1"/>
  <c r="K91" i="1"/>
  <c r="K86" i="1"/>
  <c r="J86" i="1"/>
  <c r="L86" i="1" s="1"/>
  <c r="J91" i="1"/>
  <c r="L91" i="1" s="1"/>
  <c r="J155" i="1"/>
  <c r="J62" i="1"/>
  <c r="L62" i="1" s="1"/>
  <c r="K150" i="1"/>
  <c r="J3" i="1"/>
  <c r="J4" i="1"/>
  <c r="K22" i="1"/>
  <c r="K77" i="1"/>
  <c r="K27" i="1"/>
  <c r="J13" i="1"/>
  <c r="J67" i="1"/>
  <c r="J42" i="1"/>
  <c r="K98" i="1"/>
  <c r="J151" i="1"/>
  <c r="K18" i="1"/>
  <c r="J80" i="1"/>
  <c r="J156" i="1"/>
  <c r="K156" i="1"/>
  <c r="K137" i="1"/>
  <c r="K14" i="1"/>
  <c r="J152" i="1"/>
  <c r="K138" i="1"/>
  <c r="J143" i="1"/>
  <c r="K162" i="1"/>
  <c r="J15" i="1"/>
  <c r="K34" i="1"/>
  <c r="J39" i="1"/>
  <c r="K58" i="1"/>
  <c r="J64" i="1"/>
  <c r="J69" i="1"/>
  <c r="K95" i="1"/>
  <c r="J100" i="1"/>
  <c r="K119" i="1"/>
  <c r="J124" i="1"/>
  <c r="K143" i="1"/>
  <c r="J148" i="1"/>
  <c r="K104" i="1"/>
  <c r="J53" i="1"/>
  <c r="K133" i="1"/>
  <c r="J153" i="1"/>
  <c r="K20" i="1"/>
  <c r="J25" i="1"/>
  <c r="K44" i="1"/>
  <c r="J49" i="1"/>
  <c r="K75" i="1"/>
  <c r="J83" i="1"/>
  <c r="K105" i="1"/>
  <c r="J110" i="1"/>
  <c r="K129" i="1"/>
  <c r="J134" i="1"/>
  <c r="K153" i="1"/>
  <c r="J158" i="1"/>
  <c r="J63" i="1"/>
  <c r="K142" i="1"/>
  <c r="K158" i="1"/>
  <c r="J27" i="1"/>
  <c r="J51" i="1"/>
  <c r="J136" i="1"/>
  <c r="J117" i="1"/>
  <c r="K56" i="1"/>
  <c r="J98" i="1"/>
  <c r="J146" i="1"/>
  <c r="K146" i="1"/>
  <c r="J23" i="1"/>
  <c r="K42" i="1"/>
  <c r="J28" i="1"/>
  <c r="J52" i="1"/>
  <c r="J113" i="1"/>
  <c r="K132" i="1"/>
  <c r="K52" i="1"/>
  <c r="K113" i="1"/>
  <c r="K118" i="1"/>
  <c r="J2" i="1"/>
  <c r="J24" i="1"/>
  <c r="K73" i="1"/>
  <c r="J133" i="1"/>
  <c r="J88" i="1"/>
  <c r="J114" i="1"/>
  <c r="K46" i="1"/>
  <c r="K107" i="1"/>
  <c r="K131" i="1"/>
  <c r="K136" i="1"/>
  <c r="J37" i="1"/>
  <c r="J61" i="1"/>
  <c r="K93" i="1"/>
  <c r="J122" i="1"/>
  <c r="K141" i="1"/>
  <c r="J72" i="1"/>
  <c r="J103" i="1"/>
  <c r="L103" i="1" s="1"/>
  <c r="J47" i="1"/>
  <c r="K72" i="1"/>
  <c r="J108" i="1"/>
  <c r="K127" i="1"/>
  <c r="J137" i="1"/>
  <c r="J57" i="1"/>
  <c r="J94" i="1"/>
  <c r="J14" i="1"/>
  <c r="K33" i="1"/>
  <c r="K94" i="1"/>
  <c r="J147" i="1"/>
  <c r="J19" i="1"/>
  <c r="K38" i="1"/>
  <c r="K63" i="1"/>
  <c r="K123" i="1"/>
  <c r="J128" i="1"/>
  <c r="J48" i="1"/>
  <c r="J109" i="1"/>
  <c r="K128" i="1"/>
  <c r="K24" i="1"/>
  <c r="K81" i="1"/>
  <c r="J58" i="1"/>
  <c r="J119" i="1"/>
  <c r="K15" i="1"/>
  <c r="J44" i="1"/>
  <c r="K64" i="1"/>
  <c r="J129" i="1"/>
  <c r="J139" i="1"/>
  <c r="J35" i="1"/>
  <c r="K54" i="1"/>
  <c r="K89" i="1"/>
  <c r="J120" i="1"/>
  <c r="K11" i="1"/>
  <c r="J16" i="1"/>
  <c r="K35" i="1"/>
  <c r="J40" i="1"/>
  <c r="K59" i="1"/>
  <c r="J65" i="1"/>
  <c r="J70" i="1"/>
  <c r="K96" i="1"/>
  <c r="J101" i="1"/>
  <c r="K120" i="1"/>
  <c r="J125" i="1"/>
  <c r="K144" i="1"/>
  <c r="J149" i="1"/>
  <c r="J160" i="1"/>
  <c r="J32" i="1"/>
  <c r="K51" i="1"/>
  <c r="K85" i="1"/>
  <c r="K112" i="1"/>
  <c r="K160" i="1"/>
  <c r="K37" i="1"/>
  <c r="K61" i="1"/>
  <c r="K122" i="1"/>
  <c r="K47" i="1"/>
  <c r="K108" i="1"/>
  <c r="J161" i="1"/>
  <c r="J33" i="1"/>
  <c r="K161" i="1"/>
  <c r="K57" i="1"/>
  <c r="J43" i="1"/>
  <c r="K99" i="1"/>
  <c r="J81" i="1"/>
  <c r="K152" i="1"/>
  <c r="K157" i="1"/>
  <c r="K29" i="1"/>
  <c r="K88" i="1"/>
  <c r="K100" i="1"/>
  <c r="K83" i="1"/>
  <c r="J11" i="1"/>
  <c r="K16" i="1"/>
  <c r="J21" i="1"/>
  <c r="L21" i="1" s="1"/>
  <c r="K40" i="1"/>
  <c r="J45" i="1"/>
  <c r="K65" i="1"/>
  <c r="K70" i="1"/>
  <c r="J76" i="1"/>
  <c r="K101" i="1"/>
  <c r="J106" i="1"/>
  <c r="K125" i="1"/>
  <c r="J130" i="1"/>
  <c r="K149" i="1"/>
  <c r="J154" i="1"/>
  <c r="J85" i="1"/>
  <c r="J112" i="1"/>
  <c r="J56" i="1"/>
  <c r="J93" i="1"/>
  <c r="J141" i="1"/>
  <c r="K32" i="1"/>
  <c r="K117" i="1"/>
  <c r="K13" i="1"/>
  <c r="K67" i="1"/>
  <c r="J127" i="1"/>
  <c r="K103" i="1"/>
  <c r="J132" i="1"/>
  <c r="K28" i="1"/>
  <c r="J118" i="1"/>
  <c r="J38" i="1"/>
  <c r="J68" i="1"/>
  <c r="J99" i="1"/>
  <c r="J123" i="1"/>
  <c r="K68" i="1"/>
  <c r="J104" i="1"/>
  <c r="K19" i="1"/>
  <c r="K43" i="1"/>
  <c r="J29" i="1"/>
  <c r="J138" i="1"/>
  <c r="J34" i="1"/>
  <c r="J95" i="1"/>
  <c r="K114" i="1"/>
  <c r="J20" i="1"/>
  <c r="K134" i="1"/>
  <c r="K30" i="1"/>
  <c r="J59" i="1"/>
  <c r="J96" i="1"/>
  <c r="L96" i="1" s="1"/>
  <c r="K115" i="1"/>
  <c r="K139" i="1"/>
  <c r="J144" i="1"/>
  <c r="L144" i="1" s="1"/>
  <c r="K21" i="1"/>
  <c r="J26" i="1"/>
  <c r="L26" i="1" s="1"/>
  <c r="K45" i="1"/>
  <c r="J50" i="1"/>
  <c r="L50" i="1" s="1"/>
  <c r="K76" i="1"/>
  <c r="J84" i="1"/>
  <c r="K106" i="1"/>
  <c r="J111" i="1"/>
  <c r="K130" i="1"/>
  <c r="J135" i="1"/>
  <c r="K154" i="1"/>
  <c r="J159" i="1"/>
  <c r="K53" i="1"/>
  <c r="K39" i="1"/>
  <c r="K124" i="1"/>
  <c r="J54" i="1"/>
  <c r="J89" i="1"/>
  <c r="J115" i="1"/>
  <c r="K84" i="1"/>
  <c r="K159" i="1"/>
  <c r="K155" i="1"/>
  <c r="J18" i="1"/>
  <c r="K151" i="1"/>
  <c r="K23" i="1"/>
  <c r="K80" i="1"/>
  <c r="J142" i="1"/>
  <c r="J73" i="1"/>
  <c r="K147" i="1"/>
  <c r="J157" i="1"/>
  <c r="K48" i="1"/>
  <c r="K109" i="1"/>
  <c r="J162" i="1"/>
  <c r="J75" i="1"/>
  <c r="J30" i="1"/>
  <c r="K110" i="1"/>
  <c r="J36" i="1"/>
  <c r="J60" i="1"/>
  <c r="K92" i="1"/>
  <c r="J97" i="1"/>
  <c r="L97" i="1" s="1"/>
  <c r="K116" i="1"/>
  <c r="J121" i="1"/>
  <c r="K140" i="1"/>
  <c r="J145" i="1"/>
  <c r="L145" i="1" s="1"/>
  <c r="K69" i="1"/>
  <c r="J105" i="1"/>
  <c r="K148" i="1"/>
  <c r="J55" i="1"/>
  <c r="J92" i="1"/>
  <c r="J116" i="1"/>
  <c r="K135" i="1"/>
  <c r="J12" i="1"/>
  <c r="K55" i="1"/>
  <c r="J66" i="1"/>
  <c r="K12" i="1"/>
  <c r="J17" i="1"/>
  <c r="K36" i="1"/>
  <c r="J41" i="1"/>
  <c r="K60" i="1"/>
  <c r="K66" i="1"/>
  <c r="J71" i="1"/>
  <c r="K97" i="1"/>
  <c r="J102" i="1"/>
  <c r="K121" i="1"/>
  <c r="J126" i="1"/>
  <c r="K145" i="1"/>
  <c r="J150" i="1"/>
  <c r="L150" i="1" s="1"/>
  <c r="K25" i="1"/>
  <c r="K49" i="1"/>
  <c r="K26" i="1"/>
  <c r="J31" i="1"/>
  <c r="K50" i="1"/>
  <c r="K111" i="1"/>
  <c r="J140" i="1"/>
  <c r="K31" i="1"/>
  <c r="K17" i="1"/>
  <c r="J22" i="1"/>
  <c r="K41" i="1"/>
  <c r="J46" i="1"/>
  <c r="K71" i="1"/>
  <c r="J77" i="1"/>
  <c r="K102" i="1"/>
  <c r="J107" i="1"/>
  <c r="K126" i="1"/>
  <c r="J131" i="1"/>
  <c r="L38" i="1" l="1"/>
  <c r="L45" i="1"/>
  <c r="L25" i="1"/>
  <c r="L119" i="1"/>
  <c r="L140" i="1"/>
  <c r="L53" i="1"/>
  <c r="L142" i="1"/>
  <c r="L32" i="1"/>
  <c r="L92" i="1"/>
  <c r="L22" i="1"/>
  <c r="L116" i="1"/>
  <c r="L155" i="1"/>
  <c r="L59" i="1"/>
  <c r="L57" i="1"/>
  <c r="L123" i="1"/>
  <c r="L83" i="1"/>
  <c r="L46" i="1"/>
  <c r="L157" i="1"/>
  <c r="L49" i="1"/>
  <c r="L95" i="1"/>
  <c r="L143" i="1"/>
  <c r="L99" i="1"/>
  <c r="L18" i="1"/>
  <c r="L124" i="1"/>
  <c r="L17" i="1"/>
  <c r="L76" i="1"/>
  <c r="L137" i="1"/>
  <c r="L84" i="1"/>
  <c r="L139" i="1"/>
  <c r="L152" i="1"/>
  <c r="L121" i="1"/>
  <c r="L134" i="1"/>
  <c r="L41" i="1"/>
  <c r="L75" i="1"/>
  <c r="L104" i="1"/>
  <c r="L106" i="1"/>
  <c r="L120" i="1"/>
  <c r="L14" i="1"/>
  <c r="L77" i="1"/>
  <c r="L162" i="1"/>
  <c r="L111" i="1"/>
  <c r="L107" i="1"/>
  <c r="L30" i="1"/>
  <c r="L135" i="1"/>
  <c r="L24" i="1"/>
  <c r="L39" i="1"/>
  <c r="L15" i="1"/>
  <c r="L13" i="1"/>
  <c r="L42" i="1"/>
  <c r="L131" i="1"/>
  <c r="L36" i="1"/>
  <c r="L159" i="1"/>
  <c r="L29" i="1"/>
  <c r="L33" i="1"/>
  <c r="L147" i="1"/>
  <c r="L133" i="1"/>
  <c r="L63" i="1"/>
  <c r="L64" i="1"/>
  <c r="L71" i="1"/>
  <c r="L130" i="1"/>
  <c r="L161" i="1"/>
  <c r="L16" i="1"/>
  <c r="L158" i="1"/>
  <c r="L94" i="1"/>
  <c r="L110" i="1"/>
  <c r="L66" i="1"/>
  <c r="L118" i="1"/>
  <c r="L113" i="1"/>
  <c r="L44" i="1"/>
  <c r="L58" i="1"/>
  <c r="L23" i="1"/>
  <c r="L31" i="1"/>
  <c r="L149" i="1"/>
  <c r="L109" i="1"/>
  <c r="L48" i="1"/>
  <c r="L117" i="1"/>
  <c r="L67" i="1"/>
  <c r="L35" i="1"/>
  <c r="L73" i="1"/>
  <c r="L160" i="1"/>
  <c r="L122" i="1"/>
  <c r="L68" i="1"/>
  <c r="L108" i="1"/>
  <c r="L12" i="1"/>
  <c r="L28" i="1"/>
  <c r="L156" i="1"/>
  <c r="L127" i="1"/>
  <c r="L153" i="1"/>
  <c r="L37" i="1"/>
  <c r="L101" i="1"/>
  <c r="L20" i="1"/>
  <c r="L54" i="1"/>
  <c r="L112" i="1"/>
  <c r="L43" i="1"/>
  <c r="L65" i="1"/>
  <c r="L27" i="1"/>
  <c r="L100" i="1"/>
  <c r="L129" i="1"/>
  <c r="L47" i="1"/>
  <c r="L132" i="1"/>
  <c r="L72" i="1"/>
  <c r="L80" i="1"/>
  <c r="L105" i="1"/>
  <c r="L146" i="1"/>
  <c r="L61" i="1"/>
  <c r="L141" i="1"/>
  <c r="L81" i="1"/>
  <c r="L136" i="1"/>
  <c r="L70" i="1"/>
  <c r="L51" i="1"/>
  <c r="L34" i="1"/>
  <c r="L85" i="1"/>
  <c r="L114" i="1"/>
  <c r="L52" i="1"/>
  <c r="L11" i="1"/>
  <c r="L55" i="1"/>
  <c r="L151" i="1"/>
  <c r="L125" i="1"/>
  <c r="L98" i="1"/>
  <c r="L148" i="1"/>
  <c r="L115" i="1"/>
  <c r="L89" i="1"/>
  <c r="L93" i="1"/>
  <c r="L128" i="1"/>
  <c r="L126" i="1"/>
  <c r="L56" i="1"/>
  <c r="L102" i="1"/>
  <c r="L60" i="1"/>
  <c r="L138" i="1"/>
  <c r="L154" i="1"/>
  <c r="L40" i="1"/>
  <c r="L19" i="1"/>
  <c r="L88" i="1"/>
  <c r="L69" i="1"/>
</calcChain>
</file>

<file path=xl/sharedStrings.xml><?xml version="1.0" encoding="utf-8"?>
<sst xmlns="http://schemas.openxmlformats.org/spreadsheetml/2006/main" count="594" uniqueCount="366">
  <si>
    <t>刀刃</t>
  </si>
  <si>
    <t>刀把</t>
  </si>
  <si>
    <t>刀鞘</t>
  </si>
  <si>
    <t>刀镡</t>
  </si>
  <si>
    <t>SUM</t>
  </si>
  <si>
    <t>TSUM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</si>
  <si>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</si>
  <si>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</si>
  <si>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</si>
  <si>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</si>
  <si>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</si>
  <si>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</si>
  <si>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</si>
  <si>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</si>
  <si>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</si>
  <si>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</si>
  <si>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</si>
  <si>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</si>
  <si>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</si>
  <si>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</si>
  <si>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</si>
  <si>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</si>
  <si>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</si>
  <si>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</si>
  <si>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</si>
  <si>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</si>
  <si>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</si>
  <si>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</si>
  <si>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行动力消耗降低+</t>
  </si>
  <si>
    <t>暴击伤害</t>
  </si>
  <si>
    <t>盔甲韧性</t>
  </si>
  <si>
    <t>行动力恢复效率+%</t>
  </si>
  <si>
    <t>癫火抵抗+%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</si>
  <si>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</si>
  <si>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</si>
  <si>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</si>
  <si>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</si>
  <si>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</si>
  <si>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</si>
  <si>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</si>
  <si>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</si>
  <si>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</si>
  <si>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</si>
  <si>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</si>
  <si>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</si>
  <si>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</si>
  <si>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</si>
  <si>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</si>
  <si>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</si>
  <si>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</si>
  <si>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</si>
  <si>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</si>
  <si>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</si>
  <si>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</si>
  <si>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</si>
  <si>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</si>
  <si>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</si>
  <si>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</si>
  <si>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</si>
  <si>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</si>
  <si>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</si>
  <si>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</si>
  <si>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</si>
  <si>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</si>
  <si>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</si>
  <si>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</si>
  <si>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</si>
  <si>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</si>
  <si>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</si>
  <si>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</si>
  <si>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</si>
  <si>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</si>
  <si>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</si>
  <si>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</si>
  <si>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</si>
  <si>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</si>
  <si>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</si>
  <si>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</si>
  <si>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</si>
  <si>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</si>
  <si>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</si>
  <si>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</si>
  <si>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</si>
  <si>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</si>
  <si>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</si>
  <si>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暴击率+0.025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</si>
  <si>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</si>
  <si>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</si>
  <si>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</si>
  <si>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</si>
  <si>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</si>
  <si>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</si>
  <si>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</si>
  <si>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</si>
  <si>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</si>
  <si>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</si>
  <si>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</si>
  <si>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</si>
  <si>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</si>
  <si>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</si>
  <si>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</si>
  <si>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</si>
  <si>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</si>
  <si>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</si>
  <si>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</si>
  <si>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</si>
  <si>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</si>
  <si>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</si>
  <si>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</si>
  <si>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</si>
  <si>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</si>
  <si>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</si>
  <si>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</si>
  <si>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</si>
  <si>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</si>
  <si>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</si>
  <si>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</si>
  <si>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</si>
  <si>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</si>
  <si>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</si>
  <si>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</si>
  <si>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</si>
  <si>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</si>
  <si>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</si>
  <si>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</si>
  <si>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</si>
  <si>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</si>
  <si>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</si>
  <si>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</si>
  <si>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</si>
  <si>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</si>
  <si>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</si>
  <si>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</si>
  <si>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</si>
  <si>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</si>
  <si>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</si>
  <si>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</si>
  <si>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</si>
  <si>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</si>
  <si>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</si>
  <si>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</si>
  <si>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</si>
  <si>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</si>
  <si>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</si>
  <si>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</si>
  <si>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#forge:ingots/desh'</t>
  </si>
  <si>
    <t>戴斯锭</t>
  </si>
  <si>
    <t>冰霜伤害+0.5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</si>
  <si>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</si>
  <si>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</si>
  <si>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</si>
  <si>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</si>
  <si>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</si>
  <si>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</si>
  <si>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</si>
  <si>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</si>
  <si>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</si>
  <si>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</si>
  <si>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</si>
  <si>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</si>
  <si>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</si>
  <si>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</si>
  <si>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</si>
  <si>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</si>
  <si>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</si>
  <si>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</si>
  <si>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</si>
  <si>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</si>
  <si>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</si>
  <si>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</si>
  <si>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</si>
  <si>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</si>
  <si>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</si>
  <si>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</si>
  <si>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</si>
  <si>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</si>
  <si>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</si>
  <si>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</si>
  <si>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</si>
  <si>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</si>
  <si>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</si>
  <si>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twilightforest:fiery_ingot</t>
  </si>
  <si>
    <t>赤铁锭</t>
  </si>
  <si>
    <t>火焰伤害+1</t>
  </si>
  <si>
    <t>癫火抵抗+0.05</t>
  </si>
  <si>
    <t>1.2.9</t>
  </si>
  <si>
    <t>deep_aether:stratus_ingot</t>
  </si>
  <si>
    <t>云母钢锭</t>
  </si>
  <si>
    <t>实体范围+0.05</t>
  </si>
  <si>
    <t>1.3.0</t>
  </si>
  <si>
    <t>'thermal:basalz_rod'</t>
  </si>
  <si>
    <t>岩石裂骸</t>
  </si>
  <si>
    <t>1.3.1</t>
  </si>
  <si>
    <t>regions_unexplored:hanging_earlight_fruit</t>
  </si>
  <si>
    <t>垂悬耳灯果</t>
  </si>
  <si>
    <t>生命值+3</t>
  </si>
  <si>
    <t>1.3.2</t>
  </si>
  <si>
    <t>'#forge:ingots/netherite'</t>
  </si>
  <si>
    <t>下界合金</t>
  </si>
  <si>
    <t>击退抗性+0.1</t>
  </si>
  <si>
    <t>1.4.0</t>
  </si>
  <si>
    <t>#forge:ingots/ostrum'</t>
  </si>
  <si>
    <t>紫金</t>
  </si>
  <si>
    <t>2.1.0</t>
  </si>
  <si>
    <t>ad_astra:venus_stone'</t>
  </si>
  <si>
    <t>金星石</t>
  </si>
  <si>
    <t>ad_astra:infernal_spire_block'</t>
  </si>
  <si>
    <t>炎狱尖塔块</t>
  </si>
  <si>
    <t>'enderio:vibrant_alloy_ingot'</t>
  </si>
  <si>
    <t>震动合金</t>
  </si>
  <si>
    <t>护甲+1</t>
  </si>
  <si>
    <t>'integrateddynamics:crystalized_menril_chunk'</t>
  </si>
  <si>
    <t>门瑞欧结晶</t>
  </si>
  <si>
    <t>韧性+0.75</t>
  </si>
  <si>
    <t>2.1.1</t>
  </si>
  <si>
    <t>minecraft:popped_chorus_fruit'</t>
  </si>
  <si>
    <t>爆裂紫颂果</t>
  </si>
  <si>
    <t>护甲穿透+2</t>
  </si>
  <si>
    <t>'#forge:ingots/calorite'</t>
  </si>
  <si>
    <t>耐热金属</t>
  </si>
  <si>
    <t>生命值+4</t>
  </si>
  <si>
    <t>ad_astra:mercury_stone'</t>
  </si>
  <si>
    <t>水星石</t>
  </si>
  <si>
    <t>kubejs:mercury_refractory_structural_component'</t>
  </si>
  <si>
    <t>墨丘利耐火结构组件</t>
  </si>
  <si>
    <t>2.1.2</t>
  </si>
  <si>
    <t>'integrateddynamics:logic_director'</t>
  </si>
  <si>
    <t>逻辑导向零件</t>
  </si>
  <si>
    <t>'integratedterminals:chorus_glass'</t>
  </si>
  <si>
    <t>紫菘玻璃</t>
  </si>
  <si>
    <t>行动力效率+10</t>
  </si>
  <si>
    <t>2.1.3</t>
  </si>
  <si>
    <t>kubejs:virtual_gold_ingot</t>
  </si>
  <si>
    <t>虚金</t>
  </si>
  <si>
    <t>暴击率+0.05</t>
  </si>
  <si>
    <t>undergarden:cloggrum_ingot'</t>
  </si>
  <si>
    <t>扼塞</t>
  </si>
  <si>
    <t>2.2.0</t>
  </si>
  <si>
    <t>'#forge:ingots/utherium'</t>
  </si>
  <si>
    <t>御腐</t>
  </si>
  <si>
    <t>2.2.1</t>
  </si>
  <si>
    <t>'#forge:ingots/extreme'</t>
  </si>
  <si>
    <t>霜钢</t>
  </si>
  <si>
    <t>冰霜伤害+6</t>
  </si>
  <si>
    <t>极限合金</t>
  </si>
  <si>
    <t>2.2.2</t>
  </si>
  <si>
    <t>'#forge:ingots/regalium'</t>
  </si>
  <si>
    <t>贵豪</t>
  </si>
  <si>
    <t>经验获取+0.15</t>
  </si>
  <si>
    <t>暴击伤害+0.05</t>
  </si>
  <si>
    <t>'#forge:ingots/forgotten_metal'</t>
  </si>
  <si>
    <t>遗忆</t>
  </si>
  <si>
    <t>'#forge:ingots/neutronium'</t>
  </si>
  <si>
    <t>中子</t>
  </si>
  <si>
    <t>2.2.3</t>
  </si>
  <si>
    <t>kubejs:coil_of_sorrow'</t>
  </si>
  <si>
    <t>悲哀线圈</t>
  </si>
  <si>
    <t>nuclearcraft:xenorium_298'</t>
  </si>
  <si>
    <t>Xenorium298</t>
  </si>
  <si>
    <t>2.2.4</t>
  </si>
  <si>
    <t>kubejs:menril-silicon_sic_sic_cmc_ingot'</t>
  </si>
  <si>
    <t>铍青铜复合材料</t>
  </si>
  <si>
    <t>韧性+1</t>
  </si>
  <si>
    <t>cataclysm:void_stone'</t>
  </si>
  <si>
    <t>虚空石</t>
  </si>
  <si>
    <t>cataclysm:void_core'</t>
  </si>
  <si>
    <t>虚空核心</t>
  </si>
  <si>
    <t>2.3.0</t>
  </si>
  <si>
    <t>'quark:myalite_crystal'</t>
  </si>
  <si>
    <t>幻境石水晶</t>
  </si>
  <si>
    <t>integrateddynamics:crystalized_chorus_chunk'</t>
  </si>
  <si>
    <t>紫颂果结晶</t>
  </si>
  <si>
    <t>2.3.1</t>
  </si>
  <si>
    <t>'enderio:end_steel_ingot'</t>
  </si>
  <si>
    <t>末地钢锭</t>
  </si>
  <si>
    <t>特殊行动冷却+0.05</t>
  </si>
  <si>
    <t>攻击伤害+1</t>
  </si>
  <si>
    <t>kubejs:chorus_logic_composite_coil'</t>
  </si>
  <si>
    <t>紫菘逻辑线圈</t>
  </si>
  <si>
    <t>2.3.2</t>
  </si>
  <si>
    <t>2.3.3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</si>
  <si>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</si>
  <si>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</si>
  <si>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</si>
  <si>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</si>
  <si>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</si>
  <si>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</si>
  <si>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</si>
  <si>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</si>
  <si>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</si>
  <si>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</si>
  <si>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</si>
  <si>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</si>
  <si>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r>
      <t>火焰伤害+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</si>
  <si>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备注</t>
    <phoneticPr fontId="1" type="noConversion"/>
  </si>
  <si>
    <t>1攻击=2总元素伤害</t>
    <phoneticPr fontId="1" type="noConversion"/>
  </si>
  <si>
    <t>火焰伤害+2</t>
    <phoneticPr fontId="1" type="noConversion"/>
  </si>
  <si>
    <t>火焰伤害+10%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</si>
  <si>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10%</t>
    </r>
    <phoneticPr fontId="1" type="noConversion"/>
  </si>
  <si>
    <r>
      <t>癫火抵抗+0.</t>
    </r>
    <r>
      <rPr>
        <sz val="11"/>
        <color theme="1"/>
        <rFont val="等线"/>
        <family val="3"/>
        <charset val="134"/>
        <scheme val="minor"/>
      </rPr>
      <t>1</t>
    </r>
    <phoneticPr fontId="1" type="noConversion"/>
  </si>
  <si>
    <t>韧性+0.5</t>
    <phoneticPr fontId="1" type="noConversion"/>
  </si>
  <si>
    <t>暴击率-0.05</t>
    <phoneticPr fontId="1" type="noConversion"/>
  </si>
  <si>
    <t>攻击伤害+5%</t>
    <phoneticPr fontId="1" type="noConversion"/>
  </si>
  <si>
    <t>总共10+4=14部件，默认9+3=12部件，总元素伤害=x*12</t>
  </si>
  <si>
    <t>暴击伤害-0.05</t>
    <phoneticPr fontId="1" type="noConversion"/>
  </si>
  <si>
    <t>攻击伤害+1.5</t>
    <phoneticPr fontId="1" type="noConversion"/>
  </si>
  <si>
    <t>护甲+1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</si>
  <si>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</si>
  <si>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移动速度-5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</si>
  <si>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护甲穿透+1.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</si>
  <si>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癫火伤害+0.05</t>
    <phoneticPr fontId="1" type="noConversion"/>
  </si>
  <si>
    <t>癫火伤害+0.1</t>
    <phoneticPr fontId="1" type="noConversion"/>
  </si>
  <si>
    <r>
      <t>生命值+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</si>
  <si>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r>
      <t>仇恨+</t>
    </r>
    <r>
      <rPr>
        <sz val="11"/>
        <color theme="1"/>
        <rFont val="等线"/>
        <family val="3"/>
        <charset val="134"/>
        <scheme val="minor"/>
      </rPr>
      <t>1</t>
    </r>
    <phoneticPr fontId="1" type="noConversion"/>
  </si>
  <si>
    <t>暴击率+0.06</t>
    <phoneticPr fontId="1" type="noConversion"/>
  </si>
  <si>
    <r>
      <t>癫火抵抗+0.1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</si>
  <si>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1.5</t>
    </r>
    <phoneticPr fontId="1" type="noConversion"/>
  </si>
  <si>
    <r>
      <t>盔甲撕裂+</t>
    </r>
    <r>
      <rPr>
        <sz val="11"/>
        <color theme="1"/>
        <rFont val="等线"/>
        <family val="3"/>
        <charset val="134"/>
        <scheme val="minor"/>
      </rPr>
      <t>2.5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</si>
  <si>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盔甲撕裂+3</t>
    </r>
    <r>
      <rPr>
        <sz val="11"/>
        <color theme="1"/>
        <rFont val="等线"/>
        <charset val="134"/>
        <scheme val="minor"/>
      </rPr>
      <t>%</t>
    </r>
    <phoneticPr fontId="1" type="noConversion"/>
  </si>
  <si>
    <t>暴击伤害+0.05</t>
    <phoneticPr fontId="1" type="noConversion"/>
  </si>
  <si>
    <t>冰霜伤害+7.5</t>
    <phoneticPr fontId="1" type="noConversion"/>
  </si>
  <si>
    <r>
      <t>行动力效率+</t>
    </r>
    <r>
      <rPr>
        <sz val="11"/>
        <color theme="1"/>
        <rFont val="等线"/>
        <family val="3"/>
        <charset val="134"/>
        <scheme val="minor"/>
      </rPr>
      <t>10</t>
    </r>
    <phoneticPr fontId="1" type="noConversion"/>
  </si>
  <si>
    <t>冰霜伤害+10</t>
    <phoneticPr fontId="1" type="noConversion"/>
  </si>
  <si>
    <t>攻击伤害-2.5</t>
    <phoneticPr fontId="1" type="noConversion"/>
  </si>
  <si>
    <t>实装标记</t>
    <phoneticPr fontId="1" type="noConversion"/>
  </si>
  <si>
    <t>仇恨-30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</si>
  <si>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.3.2</t>
    </r>
    <phoneticPr fontId="1" type="noConversion"/>
  </si>
  <si>
    <t>'cataclysm:witherite_ingot'</t>
  </si>
  <si>
    <t>凋零合金锭</t>
    <phoneticPr fontId="1" type="noConversion"/>
  </si>
  <si>
    <t>硬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</si>
  <si>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</si>
  <si>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魔法抗性+2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</si>
  <si>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.2.2</t>
    </r>
    <phoneticPr fontId="1" type="noConversion"/>
  </si>
  <si>
    <t>'cataclysm:ancient_metal_ingot'</t>
  </si>
  <si>
    <t>远古金属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</si>
  <si>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.2.3</t>
    </r>
    <phoneticPr fontId="1" type="noConversion"/>
  </si>
  <si>
    <t>'cataclysm:ignitium_ingot'</t>
  </si>
  <si>
    <t>腾炎锭</t>
    <phoneticPr fontId="1" type="noConversion"/>
  </si>
  <si>
    <t>魔法穿透+1.5</t>
    <phoneticPr fontId="1" type="noConversion"/>
  </si>
  <si>
    <t>癫火抵抗+0.05</t>
    <phoneticPr fontId="1" type="noConversion"/>
  </si>
  <si>
    <t>火焰伤害+4</t>
    <phoneticPr fontId="1" type="noConversion"/>
  </si>
  <si>
    <t>阶段</t>
    <phoneticPr fontId="3" type="noConversion"/>
  </si>
  <si>
    <t>发狂抵抗+5</t>
    <phoneticPr fontId="1" type="noConversion"/>
  </si>
  <si>
    <t>'kubejs:scoria_ingot'</t>
  </si>
  <si>
    <t>熔渣锭</t>
    <phoneticPr fontId="1" type="noConversion"/>
  </si>
  <si>
    <t>火焰伤害+6</t>
    <phoneticPr fontId="1" type="noConversion"/>
  </si>
  <si>
    <t>'midnight:nagrilite_ingot'</t>
  </si>
  <si>
    <t>夜冥</t>
    <phoneticPr fontId="1" type="noConversion"/>
  </si>
  <si>
    <t>'midnight:ebonite'</t>
  </si>
  <si>
    <t>黯铁</t>
    <phoneticPr fontId="1" type="noConversion"/>
  </si>
  <si>
    <t>'midnight:virilux'</t>
  </si>
  <si>
    <t>幽光</t>
    <phoneticPr fontId="1" type="noConversion"/>
  </si>
  <si>
    <t>'midnight:rendium_shard'</t>
  </si>
  <si>
    <t>铼碎片</t>
  </si>
  <si>
    <t>软</t>
    <phoneticPr fontId="1" type="noConversion"/>
  </si>
  <si>
    <r>
      <t>移动速度+5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</si>
  <si>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</si>
  <si>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冰霜伤害+14</t>
    <phoneticPr fontId="1" type="noConversion"/>
  </si>
  <si>
    <t>'#forge:ingots/manasteel'</t>
  </si>
  <si>
    <t>魔力钢</t>
    <phoneticPr fontId="1" type="noConversion"/>
  </si>
  <si>
    <t>魔力修复3</t>
    <phoneticPr fontId="1" type="noConversion"/>
  </si>
  <si>
    <t>魔力共振1</t>
    <phoneticPr fontId="1" type="noConversion"/>
  </si>
  <si>
    <t>魔力共振：特殊词条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</si>
  <si>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~5</t>
    </r>
    <phoneticPr fontId="1" type="noConversion"/>
  </si>
  <si>
    <t>其他特性4</t>
    <phoneticPr fontId="1" type="noConversion"/>
  </si>
  <si>
    <t>魔法穿透+1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</si>
</sst>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2"/>
  <sheetViews>
    <sheetView tabSelected="1" zoomScale="85" zoomScaleNormal="85" workbookViewId="0">
      <pane xSplit="6" ySplit="10" topLeftCell="G59" activePane="bottomRight" state="frozen"/>
      <selection pane="topRight"/>
      <selection pane="bottomLeft"/>
      <selection pane="bottomRight" activeCell="T73" sqref="T73"/>
    </sheetView>
  </sheetViews>
  <sheetFormatPr defaultColWidth="16.625" defaultRowHeight="20.100000000000001" customHeight="1" x14ac:dyDescent="0.2"/>
  <cols>
    <col min="1" max="3" width="8.625" style="3" customWidth="1"/>
    <col min="4" max="5" width="16.625" style="3" customWidth="1"/>
    <col min="6" max="6" width="8.625" style="3" customWidth="1"/>
    <col min="7" max="16" width="12.625" style="3" customWidth="1"/>
    <col min="17" max="19" width="15.625" style="3" customWidth="1"/>
    <col min="20" max="16384" width="16.625" style="3"/>
  </cols>
  <sheetData>
    <row r="1" spans="1:24" ht="20.100000000000001" customHeight="1" x14ac:dyDescent="0.2"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M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24" t="s">
        <v>362</v>
      </c>
      <c r="U1" s="27" t="s">
        <v>294</v>
      </c>
      <c r="V1" s="27"/>
    </row>
    <row r="2" spans="1:24" ht="20.100000000000001" customHeight="1" x14ac:dyDescent="0.2">
      <c r="C2" s="3" t="s">
        <v>12</v>
      </c>
      <c r="D2" s="3" t="s">
        <v>13</v>
      </c>
      <c r="E2" s="9">
        <v>1</v>
      </c>
      <c r="F2" s="9">
        <v>0.5</v>
      </c>
      <c r="G2" s="9">
        <v>1</v>
      </c>
      <c r="H2" s="9">
        <v>-0.5</v>
      </c>
      <c r="I2" s="13">
        <f t="shared" ref="I2:I7" si="0">SUM(E2:H2)</f>
        <v>2</v>
      </c>
      <c r="J2" s="3">
        <f>I2+I5</f>
        <v>2.5</v>
      </c>
      <c r="L2" s="3" t="s">
        <v>14</v>
      </c>
      <c r="M2" s="3">
        <v>6.25</v>
      </c>
      <c r="P2" s="3" t="s">
        <v>15</v>
      </c>
      <c r="Q2" s="3" t="s">
        <v>15</v>
      </c>
      <c r="R2" s="3" t="s">
        <v>15</v>
      </c>
      <c r="S2" s="3" t="s">
        <v>15</v>
      </c>
      <c r="T2" s="29" t="s">
        <v>363</v>
      </c>
      <c r="U2" s="27" t="s">
        <v>303</v>
      </c>
      <c r="V2" s="27"/>
      <c r="W2" s="27"/>
      <c r="X2" s="27"/>
    </row>
    <row r="3" spans="1:24" ht="20.100000000000001" customHeight="1" x14ac:dyDescent="0.2">
      <c r="D3" s="3" t="s">
        <v>16</v>
      </c>
      <c r="E3" s="9">
        <v>0.5</v>
      </c>
      <c r="F3" s="9">
        <v>0</v>
      </c>
      <c r="G3" s="9">
        <v>-0.5</v>
      </c>
      <c r="H3" s="9">
        <v>0.5</v>
      </c>
      <c r="I3" s="13">
        <f t="shared" si="0"/>
        <v>0.5</v>
      </c>
      <c r="J3" s="3">
        <f>I3+I6</f>
        <v>1</v>
      </c>
      <c r="L3" s="3" t="s">
        <v>17</v>
      </c>
      <c r="M3" s="3">
        <v>1.5</v>
      </c>
      <c r="P3" s="3" t="s">
        <v>18</v>
      </c>
      <c r="Q3" s="3" t="s">
        <v>19</v>
      </c>
      <c r="R3" s="3" t="s">
        <v>20</v>
      </c>
      <c r="S3" s="3" t="s">
        <v>21</v>
      </c>
      <c r="U3" s="27" t="s">
        <v>295</v>
      </c>
      <c r="V3" s="28"/>
      <c r="W3" s="28"/>
      <c r="X3" s="28"/>
    </row>
    <row r="4" spans="1:24" ht="20.100000000000001" customHeight="1" x14ac:dyDescent="0.2">
      <c r="C4" s="3" t="s">
        <v>22</v>
      </c>
      <c r="D4" s="3" t="s">
        <v>23</v>
      </c>
      <c r="E4" s="9">
        <v>0</v>
      </c>
      <c r="F4" s="9">
        <v>0</v>
      </c>
      <c r="G4" s="9">
        <v>0</v>
      </c>
      <c r="H4" s="9">
        <v>0</v>
      </c>
      <c r="I4" s="13">
        <f t="shared" si="0"/>
        <v>0</v>
      </c>
      <c r="J4" s="3">
        <f>I4+I7</f>
        <v>0</v>
      </c>
      <c r="P4" s="3" t="s">
        <v>24</v>
      </c>
      <c r="Q4" s="3" t="s">
        <v>25</v>
      </c>
      <c r="R4" s="3" t="s">
        <v>15</v>
      </c>
      <c r="S4" s="3" t="s">
        <v>15</v>
      </c>
    </row>
    <row r="5" spans="1:24" ht="20.100000000000001" customHeight="1" x14ac:dyDescent="0.2">
      <c r="C5" s="3" t="s">
        <v>26</v>
      </c>
      <c r="D5" s="3" t="s">
        <v>13</v>
      </c>
      <c r="E5" s="9">
        <v>-0.5</v>
      </c>
      <c r="F5" s="9">
        <v>0.5</v>
      </c>
      <c r="G5" s="9">
        <v>0</v>
      </c>
      <c r="H5" s="9">
        <v>0.5</v>
      </c>
      <c r="I5" s="13">
        <f t="shared" si="0"/>
        <v>0.5</v>
      </c>
      <c r="P5" s="3" t="s">
        <v>27</v>
      </c>
      <c r="Q5" s="3" t="s">
        <v>28</v>
      </c>
      <c r="R5" s="3" t="s">
        <v>29</v>
      </c>
    </row>
    <row r="6" spans="1:24" ht="20.100000000000001" customHeight="1" x14ac:dyDescent="0.2">
      <c r="D6" s="3" t="s">
        <v>16</v>
      </c>
      <c r="E6" s="9">
        <v>1</v>
      </c>
      <c r="F6" s="9">
        <v>-1</v>
      </c>
      <c r="G6" s="9">
        <v>0.5</v>
      </c>
      <c r="H6" s="9">
        <v>0</v>
      </c>
      <c r="I6" s="13">
        <f t="shared" si="0"/>
        <v>0.5</v>
      </c>
      <c r="P6" s="3" t="s">
        <v>15</v>
      </c>
      <c r="Q6" s="3" t="s">
        <v>15</v>
      </c>
      <c r="R6" s="3" t="s">
        <v>15</v>
      </c>
    </row>
    <row r="7" spans="1:24" ht="20.100000000000001" customHeight="1" x14ac:dyDescent="0.2">
      <c r="C7" s="3" t="s">
        <v>30</v>
      </c>
      <c r="D7" s="3" t="s">
        <v>23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P7" s="3" t="s">
        <v>31</v>
      </c>
      <c r="Q7" s="3" t="s">
        <v>32</v>
      </c>
    </row>
    <row r="8" spans="1:24" ht="20.100000000000001" customHeight="1" x14ac:dyDescent="0.2">
      <c r="F8" s="3" t="s">
        <v>33</v>
      </c>
      <c r="P8" s="3" t="s">
        <v>15</v>
      </c>
      <c r="Q8" s="3" t="s">
        <v>15</v>
      </c>
    </row>
    <row r="9" spans="1:24" ht="20.100000000000001" customHeight="1" x14ac:dyDescent="0.2">
      <c r="F9" s="3" t="s">
        <v>34</v>
      </c>
      <c r="G9" s="3" t="s">
        <v>13</v>
      </c>
      <c r="H9" s="3" t="s">
        <v>16</v>
      </c>
      <c r="I9" s="3" t="s">
        <v>23</v>
      </c>
    </row>
    <row r="10" spans="1:24" ht="20.100000000000001" customHeight="1" x14ac:dyDescent="0.2">
      <c r="A10" s="3" t="s">
        <v>35</v>
      </c>
      <c r="B10" s="3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5" t="s">
        <v>41</v>
      </c>
      <c r="H10" s="6" t="s">
        <v>42</v>
      </c>
      <c r="I10" s="7" t="s">
        <v>43</v>
      </c>
      <c r="J10" s="14" t="s">
        <v>12</v>
      </c>
      <c r="K10" s="14" t="s">
        <v>26</v>
      </c>
      <c r="L10" s="15" t="s">
        <v>44</v>
      </c>
      <c r="M10" s="16" t="s">
        <v>22</v>
      </c>
      <c r="N10" s="16" t="s">
        <v>30</v>
      </c>
      <c r="O10" s="8" t="s">
        <v>45</v>
      </c>
      <c r="P10" s="8" t="s">
        <v>46</v>
      </c>
      <c r="Q10" s="4" t="s">
        <v>47</v>
      </c>
      <c r="R10" s="4" t="s">
        <v>48</v>
      </c>
      <c r="S10" s="4" t="s">
        <v>49</v>
      </c>
      <c r="T10" s="30" t="s">
        <v>364</v>
      </c>
      <c r="U10" s="3" t="s">
        <v>324</v>
      </c>
    </row>
    <row r="11" spans="1:24" ht="20.100000000000001" customHeight="1" x14ac:dyDescent="0.2">
      <c r="A11" s="3">
        <v>5</v>
      </c>
      <c r="B11" s="3">
        <v>7</v>
      </c>
      <c r="C11" s="12" t="s">
        <v>50</v>
      </c>
      <c r="D11" s="12" t="s">
        <v>51</v>
      </c>
      <c r="E11" s="12" t="s">
        <v>52</v>
      </c>
      <c r="F11" s="12" t="s">
        <v>53</v>
      </c>
      <c r="G11" s="12">
        <v>1.3</v>
      </c>
      <c r="H11" s="12">
        <v>1.3</v>
      </c>
      <c r="I11" s="12">
        <v>0.8</v>
      </c>
      <c r="J11" s="17">
        <f t="shared" ref="J11" si="1">(G11*$I$2)+(H11*$I$3)+(I11*$I$4)</f>
        <v>3.25</v>
      </c>
      <c r="K11" s="9">
        <f t="shared" ref="K11:K57" si="2">(G11*$I$5)+(H11*$I$6)+(I11*$I$7)</f>
        <v>1.3</v>
      </c>
      <c r="L11" s="10">
        <f t="shared" ref="L11:L55" si="3">J11+K11</f>
        <v>4.55</v>
      </c>
      <c r="M11" s="11">
        <f>I11*$M$2</f>
        <v>5</v>
      </c>
      <c r="N11" s="11">
        <f>I11*$M$3</f>
        <v>1.2000000000000002</v>
      </c>
      <c r="O11" s="9">
        <v>1</v>
      </c>
      <c r="P11" s="9">
        <v>1</v>
      </c>
      <c r="Q11" s="9" t="s">
        <v>54</v>
      </c>
      <c r="R11" s="9"/>
      <c r="S11" s="9"/>
    </row>
    <row r="12" spans="1:24" ht="20.100000000000001" customHeight="1" x14ac:dyDescent="0.2">
      <c r="C12" s="12" t="s">
        <v>50</v>
      </c>
      <c r="D12" s="12" t="s">
        <v>55</v>
      </c>
      <c r="E12" s="12" t="s">
        <v>56</v>
      </c>
      <c r="F12" s="12" t="s">
        <v>57</v>
      </c>
      <c r="G12" s="12">
        <v>1.4</v>
      </c>
      <c r="H12" s="12">
        <v>1.3</v>
      </c>
      <c r="I12" s="12">
        <v>0.9</v>
      </c>
      <c r="J12" s="17">
        <f t="shared" ref="J12" si="4">(G12*$I$2)+(H12*$I$3)</f>
        <v>3.4499999999999997</v>
      </c>
      <c r="K12" s="9">
        <f t="shared" ref="K12" si="5">(G12*$I$5)+(H12*$I$6)+(I12*$I$7)</f>
        <v>1.35</v>
      </c>
      <c r="L12" s="10">
        <f t="shared" ref="L12" si="6">J12+K12</f>
        <v>4.8</v>
      </c>
      <c r="M12" s="11">
        <f t="shared" ref="M12" si="7">I12*$M$2</f>
        <v>5.625</v>
      </c>
      <c r="N12" s="11">
        <f t="shared" ref="N12" si="8">I12*$M$3</f>
        <v>1.35</v>
      </c>
      <c r="O12" s="9">
        <v>1</v>
      </c>
      <c r="P12" s="9">
        <v>3</v>
      </c>
      <c r="Q12" s="9"/>
      <c r="R12" s="9"/>
      <c r="S12" s="9"/>
    </row>
    <row r="13" spans="1:24" ht="20.100000000000001" customHeight="1" x14ac:dyDescent="0.2">
      <c r="C13" s="12" t="s">
        <v>50</v>
      </c>
      <c r="D13" s="12" t="s">
        <v>58</v>
      </c>
      <c r="E13" s="12" t="s">
        <v>59</v>
      </c>
      <c r="F13" s="12" t="s">
        <v>57</v>
      </c>
      <c r="G13" s="12">
        <v>1.4</v>
      </c>
      <c r="H13" s="12">
        <v>1.4</v>
      </c>
      <c r="I13" s="12">
        <v>1.1000000000000001</v>
      </c>
      <c r="J13" s="17">
        <f t="shared" ref="J13:J39" si="9">(G13*$I$2)+(H13*$I$3)</f>
        <v>3.5</v>
      </c>
      <c r="K13" s="9">
        <f t="shared" si="2"/>
        <v>1.4</v>
      </c>
      <c r="L13" s="10">
        <f t="shared" si="3"/>
        <v>4.9000000000000004</v>
      </c>
      <c r="M13" s="11">
        <f t="shared" ref="M13:M26" si="10">I13*$M$2</f>
        <v>6.8750000000000009</v>
      </c>
      <c r="N13" s="11">
        <f t="shared" ref="N13:N26" si="11">I13*$M$3</f>
        <v>1.6500000000000001</v>
      </c>
      <c r="O13" s="9">
        <v>1</v>
      </c>
      <c r="P13" s="9">
        <v>2</v>
      </c>
      <c r="Q13" s="9" t="s">
        <v>60</v>
      </c>
      <c r="R13" s="9"/>
      <c r="S13" s="9"/>
    </row>
    <row r="14" spans="1:24" ht="20.100000000000001" customHeight="1" x14ac:dyDescent="0.2">
      <c r="A14" s="3">
        <v>6</v>
      </c>
      <c r="B14" s="3">
        <v>8</v>
      </c>
      <c r="C14" s="5" t="s">
        <v>61</v>
      </c>
      <c r="D14" s="5" t="s">
        <v>62</v>
      </c>
      <c r="E14" s="5" t="s">
        <v>63</v>
      </c>
      <c r="F14" s="5" t="s">
        <v>57</v>
      </c>
      <c r="G14" s="5">
        <v>1.4</v>
      </c>
      <c r="H14" s="5">
        <v>1.5</v>
      </c>
      <c r="I14" s="5">
        <v>1.2</v>
      </c>
      <c r="J14" s="17">
        <f t="shared" si="9"/>
        <v>3.55</v>
      </c>
      <c r="K14" s="9">
        <f t="shared" si="2"/>
        <v>1.45</v>
      </c>
      <c r="L14" s="10">
        <f t="shared" si="3"/>
        <v>5</v>
      </c>
      <c r="M14" s="11">
        <f t="shared" si="10"/>
        <v>7.5</v>
      </c>
      <c r="N14" s="11">
        <f t="shared" si="11"/>
        <v>1.7999999999999998</v>
      </c>
      <c r="O14" s="9">
        <v>1</v>
      </c>
      <c r="P14" s="9">
        <v>2</v>
      </c>
      <c r="Q14" s="9" t="s">
        <v>60</v>
      </c>
      <c r="R14" s="9"/>
      <c r="S14" s="9"/>
    </row>
    <row r="15" spans="1:24" ht="20.100000000000001" customHeight="1" x14ac:dyDescent="0.2">
      <c r="C15" s="5" t="s">
        <v>61</v>
      </c>
      <c r="D15" s="5" t="s">
        <v>64</v>
      </c>
      <c r="E15" s="5" t="s">
        <v>65</v>
      </c>
      <c r="F15" s="5" t="s">
        <v>57</v>
      </c>
      <c r="G15" s="5">
        <v>1.8</v>
      </c>
      <c r="H15" s="5">
        <v>1.5</v>
      </c>
      <c r="I15" s="5">
        <v>1.2</v>
      </c>
      <c r="J15" s="17">
        <f t="shared" si="9"/>
        <v>4.3499999999999996</v>
      </c>
      <c r="K15" s="9">
        <f t="shared" si="2"/>
        <v>1.65</v>
      </c>
      <c r="L15" s="10">
        <f t="shared" si="3"/>
        <v>6</v>
      </c>
      <c r="M15" s="11">
        <f t="shared" si="10"/>
        <v>7.5</v>
      </c>
      <c r="N15" s="11">
        <f t="shared" si="11"/>
        <v>1.7999999999999998</v>
      </c>
      <c r="O15" s="9">
        <v>1</v>
      </c>
      <c r="P15" s="9">
        <v>2</v>
      </c>
      <c r="Q15" s="9" t="s">
        <v>66</v>
      </c>
      <c r="R15" s="9"/>
      <c r="S15" s="9"/>
    </row>
    <row r="16" spans="1:24" ht="20.100000000000001" customHeight="1" x14ac:dyDescent="0.2">
      <c r="A16" s="3">
        <v>8</v>
      </c>
      <c r="B16" s="3">
        <v>9</v>
      </c>
      <c r="C16" s="12" t="s">
        <v>67</v>
      </c>
      <c r="D16" s="12" t="s">
        <v>68</v>
      </c>
      <c r="E16" s="12" t="s">
        <v>69</v>
      </c>
      <c r="F16" s="12" t="s">
        <v>57</v>
      </c>
      <c r="G16" s="12">
        <v>2</v>
      </c>
      <c r="H16" s="12">
        <v>2</v>
      </c>
      <c r="I16" s="12">
        <v>1.3</v>
      </c>
      <c r="J16" s="17">
        <f t="shared" si="9"/>
        <v>5</v>
      </c>
      <c r="K16" s="9">
        <f t="shared" si="2"/>
        <v>2</v>
      </c>
      <c r="L16" s="10">
        <f t="shared" si="3"/>
        <v>7</v>
      </c>
      <c r="M16" s="11">
        <f t="shared" si="10"/>
        <v>8.125</v>
      </c>
      <c r="N16" s="11">
        <f t="shared" si="11"/>
        <v>1.9500000000000002</v>
      </c>
      <c r="O16" s="9">
        <v>1</v>
      </c>
      <c r="P16" s="9">
        <v>3</v>
      </c>
      <c r="Q16" s="9" t="s">
        <v>70</v>
      </c>
      <c r="R16" s="9"/>
      <c r="S16" s="9"/>
    </row>
    <row r="17" spans="1:19" ht="20.100000000000001" customHeight="1" x14ac:dyDescent="0.2">
      <c r="C17" s="12" t="s">
        <v>67</v>
      </c>
      <c r="D17" s="21" t="s">
        <v>71</v>
      </c>
      <c r="E17" s="12" t="s">
        <v>72</v>
      </c>
      <c r="F17" s="12" t="s">
        <v>57</v>
      </c>
      <c r="G17" s="12">
        <v>2.2999999999999998</v>
      </c>
      <c r="H17" s="12">
        <v>2.2000000000000002</v>
      </c>
      <c r="I17" s="12">
        <v>1.4</v>
      </c>
      <c r="J17" s="17">
        <f t="shared" si="9"/>
        <v>5.6999999999999993</v>
      </c>
      <c r="K17" s="9">
        <f t="shared" si="2"/>
        <v>2.25</v>
      </c>
      <c r="L17" s="10">
        <f t="shared" si="3"/>
        <v>7.9499999999999993</v>
      </c>
      <c r="M17" s="11">
        <f t="shared" si="10"/>
        <v>8.75</v>
      </c>
      <c r="N17" s="11">
        <f t="shared" si="11"/>
        <v>2.0999999999999996</v>
      </c>
      <c r="O17" s="9">
        <v>1</v>
      </c>
      <c r="P17" s="9">
        <v>3</v>
      </c>
      <c r="Q17" s="9" t="s">
        <v>60</v>
      </c>
      <c r="R17" s="9"/>
      <c r="S17" s="9"/>
    </row>
    <row r="18" spans="1:19" ht="20.100000000000001" customHeight="1" x14ac:dyDescent="0.2">
      <c r="A18" s="3">
        <v>9</v>
      </c>
      <c r="B18" s="3">
        <v>10</v>
      </c>
      <c r="C18" s="5" t="s">
        <v>73</v>
      </c>
      <c r="D18" s="5" t="s">
        <v>74</v>
      </c>
      <c r="E18" s="5" t="s">
        <v>75</v>
      </c>
      <c r="F18" s="5" t="s">
        <v>57</v>
      </c>
      <c r="G18" s="5">
        <v>2.6</v>
      </c>
      <c r="H18" s="5">
        <v>2.5</v>
      </c>
      <c r="I18" s="5">
        <v>1.6</v>
      </c>
      <c r="J18" s="17">
        <f t="shared" si="9"/>
        <v>6.45</v>
      </c>
      <c r="K18" s="9">
        <f t="shared" si="2"/>
        <v>2.5499999999999998</v>
      </c>
      <c r="L18" s="10">
        <f t="shared" si="3"/>
        <v>9</v>
      </c>
      <c r="M18" s="11">
        <f t="shared" si="10"/>
        <v>10</v>
      </c>
      <c r="N18" s="11">
        <f t="shared" si="11"/>
        <v>2.4000000000000004</v>
      </c>
      <c r="O18" s="9">
        <v>1</v>
      </c>
      <c r="P18" s="9">
        <v>3</v>
      </c>
      <c r="Q18" s="9" t="s">
        <v>76</v>
      </c>
      <c r="R18" s="9"/>
      <c r="S18" s="9"/>
    </row>
    <row r="19" spans="1:19" ht="20.100000000000001" customHeight="1" x14ac:dyDescent="0.2">
      <c r="A19" s="3">
        <v>4</v>
      </c>
      <c r="B19" s="3">
        <v>6</v>
      </c>
      <c r="C19" s="12" t="s">
        <v>77</v>
      </c>
      <c r="D19" s="12"/>
      <c r="E19" s="12" t="s">
        <v>78</v>
      </c>
      <c r="F19" s="12" t="s">
        <v>57</v>
      </c>
      <c r="G19" s="18">
        <v>0.8</v>
      </c>
      <c r="H19" s="18">
        <v>0.9</v>
      </c>
      <c r="I19" s="18">
        <v>0.8</v>
      </c>
      <c r="J19" s="17">
        <f t="shared" si="9"/>
        <v>2.0500000000000003</v>
      </c>
      <c r="K19" s="9">
        <f t="shared" si="2"/>
        <v>0.85000000000000009</v>
      </c>
      <c r="L19" s="10">
        <f t="shared" si="3"/>
        <v>2.9000000000000004</v>
      </c>
      <c r="M19" s="11">
        <f t="shared" si="10"/>
        <v>5</v>
      </c>
      <c r="N19" s="11">
        <f t="shared" si="11"/>
        <v>1.2000000000000002</v>
      </c>
      <c r="O19" s="9">
        <v>1</v>
      </c>
      <c r="P19" s="9">
        <v>3</v>
      </c>
      <c r="Q19" s="9" t="s">
        <v>79</v>
      </c>
      <c r="R19" s="9"/>
      <c r="S19" s="9"/>
    </row>
    <row r="20" spans="1:19" ht="20.100000000000001" customHeight="1" x14ac:dyDescent="0.2">
      <c r="C20" s="12" t="s">
        <v>77</v>
      </c>
      <c r="D20" s="12"/>
      <c r="E20" s="12" t="s">
        <v>80</v>
      </c>
      <c r="F20" s="12" t="s">
        <v>57</v>
      </c>
      <c r="G20" s="18">
        <v>1.1000000000000001</v>
      </c>
      <c r="H20" s="18">
        <v>1.1000000000000001</v>
      </c>
      <c r="I20" s="18">
        <v>0.9</v>
      </c>
      <c r="J20" s="17">
        <f t="shared" si="9"/>
        <v>2.75</v>
      </c>
      <c r="K20" s="9">
        <f t="shared" si="2"/>
        <v>1.1000000000000001</v>
      </c>
      <c r="L20" s="10">
        <f t="shared" si="3"/>
        <v>3.85</v>
      </c>
      <c r="M20" s="11">
        <f t="shared" si="10"/>
        <v>5.625</v>
      </c>
      <c r="N20" s="11">
        <f t="shared" si="11"/>
        <v>1.35</v>
      </c>
      <c r="O20" s="9">
        <v>1</v>
      </c>
      <c r="P20" s="9">
        <v>3</v>
      </c>
      <c r="Q20" s="9" t="s">
        <v>81</v>
      </c>
      <c r="R20" s="9"/>
      <c r="S20" s="9"/>
    </row>
    <row r="21" spans="1:19" ht="20.100000000000001" customHeight="1" x14ac:dyDescent="0.2">
      <c r="A21" s="3">
        <v>5</v>
      </c>
      <c r="B21" s="3">
        <v>7</v>
      </c>
      <c r="C21" s="5" t="s">
        <v>82</v>
      </c>
      <c r="D21" s="5"/>
      <c r="E21" s="5" t="s">
        <v>83</v>
      </c>
      <c r="F21" s="5" t="s">
        <v>57</v>
      </c>
      <c r="G21" s="19">
        <v>1.6</v>
      </c>
      <c r="H21" s="19">
        <v>1.4</v>
      </c>
      <c r="I21" s="19">
        <v>1.2</v>
      </c>
      <c r="J21" s="17">
        <f t="shared" si="9"/>
        <v>3.9000000000000004</v>
      </c>
      <c r="K21" s="9">
        <f t="shared" si="2"/>
        <v>1.5</v>
      </c>
      <c r="L21" s="10">
        <f t="shared" si="3"/>
        <v>5.4</v>
      </c>
      <c r="M21" s="11">
        <f t="shared" si="10"/>
        <v>7.5</v>
      </c>
      <c r="N21" s="11">
        <f t="shared" si="11"/>
        <v>1.7999999999999998</v>
      </c>
      <c r="O21" s="9">
        <v>1</v>
      </c>
      <c r="P21" s="9">
        <v>2</v>
      </c>
      <c r="Q21" s="9" t="s">
        <v>60</v>
      </c>
      <c r="R21" s="9"/>
      <c r="S21" s="9"/>
    </row>
    <row r="22" spans="1:19" ht="20.100000000000001" customHeight="1" x14ac:dyDescent="0.2">
      <c r="C22" s="5" t="s">
        <v>82</v>
      </c>
      <c r="D22" s="5"/>
      <c r="E22" s="5" t="s">
        <v>84</v>
      </c>
      <c r="F22" s="5" t="s">
        <v>57</v>
      </c>
      <c r="G22" s="19">
        <v>1.3</v>
      </c>
      <c r="H22" s="19">
        <v>1.2</v>
      </c>
      <c r="I22" s="19">
        <v>0.9</v>
      </c>
      <c r="J22" s="17">
        <f t="shared" si="9"/>
        <v>3.2</v>
      </c>
      <c r="K22" s="9">
        <f t="shared" si="2"/>
        <v>1.25</v>
      </c>
      <c r="L22" s="10">
        <f t="shared" si="3"/>
        <v>4.45</v>
      </c>
      <c r="M22" s="11">
        <f t="shared" si="10"/>
        <v>5.625</v>
      </c>
      <c r="N22" s="11">
        <f t="shared" si="11"/>
        <v>1.35</v>
      </c>
      <c r="O22" s="9">
        <v>1</v>
      </c>
      <c r="P22" s="9">
        <v>2</v>
      </c>
      <c r="Q22" s="9" t="s">
        <v>85</v>
      </c>
      <c r="R22" s="9"/>
      <c r="S22" s="9"/>
    </row>
    <row r="23" spans="1:19" ht="20.100000000000001" customHeight="1" x14ac:dyDescent="0.2">
      <c r="C23" s="5" t="s">
        <v>82</v>
      </c>
      <c r="D23" s="5"/>
      <c r="E23" s="5" t="s">
        <v>86</v>
      </c>
      <c r="F23" s="5" t="s">
        <v>57</v>
      </c>
      <c r="G23" s="19">
        <v>1.2</v>
      </c>
      <c r="H23" s="19">
        <v>1.3</v>
      </c>
      <c r="I23" s="19">
        <v>0.8</v>
      </c>
      <c r="J23" s="17">
        <f t="shared" si="9"/>
        <v>3.05</v>
      </c>
      <c r="K23" s="9">
        <f t="shared" si="2"/>
        <v>1.25</v>
      </c>
      <c r="L23" s="10">
        <f t="shared" si="3"/>
        <v>4.3</v>
      </c>
      <c r="M23" s="11">
        <f t="shared" si="10"/>
        <v>5</v>
      </c>
      <c r="N23" s="11">
        <f t="shared" si="11"/>
        <v>1.2000000000000002</v>
      </c>
      <c r="O23" s="9">
        <v>1</v>
      </c>
      <c r="P23" s="9">
        <v>2</v>
      </c>
      <c r="Q23" s="9" t="s">
        <v>87</v>
      </c>
      <c r="R23" s="9"/>
      <c r="S23" s="9"/>
    </row>
    <row r="24" spans="1:19" ht="20.100000000000001" customHeight="1" x14ac:dyDescent="0.2">
      <c r="A24" s="3">
        <v>6</v>
      </c>
      <c r="B24" s="3">
        <v>8</v>
      </c>
      <c r="C24" s="12" t="s">
        <v>88</v>
      </c>
      <c r="D24" s="12"/>
      <c r="E24" s="12" t="s">
        <v>89</v>
      </c>
      <c r="F24" s="12" t="s">
        <v>57</v>
      </c>
      <c r="G24" s="20">
        <v>1.5</v>
      </c>
      <c r="H24" s="18">
        <v>1.5</v>
      </c>
      <c r="I24" s="18">
        <v>1</v>
      </c>
      <c r="J24" s="17">
        <f t="shared" si="9"/>
        <v>3.75</v>
      </c>
      <c r="K24" s="9">
        <f t="shared" si="2"/>
        <v>1.5</v>
      </c>
      <c r="L24" s="10">
        <f t="shared" si="3"/>
        <v>5.25</v>
      </c>
      <c r="M24" s="11">
        <f t="shared" si="10"/>
        <v>6.25</v>
      </c>
      <c r="N24" s="11">
        <f t="shared" si="11"/>
        <v>1.5</v>
      </c>
      <c r="O24" s="9">
        <v>0</v>
      </c>
      <c r="P24" s="9">
        <v>2</v>
      </c>
      <c r="Q24" s="9" t="s">
        <v>90</v>
      </c>
      <c r="R24" s="9" t="s">
        <v>91</v>
      </c>
      <c r="S24" s="9"/>
    </row>
    <row r="25" spans="1:19" ht="20.100000000000001" customHeight="1" x14ac:dyDescent="0.2">
      <c r="C25" s="12" t="s">
        <v>88</v>
      </c>
      <c r="D25" s="12"/>
      <c r="E25" s="12" t="s">
        <v>92</v>
      </c>
      <c r="F25" s="12" t="s">
        <v>57</v>
      </c>
      <c r="G25" s="18">
        <v>1.6</v>
      </c>
      <c r="H25" s="18">
        <v>1.6</v>
      </c>
      <c r="I25" s="18">
        <v>1.1000000000000001</v>
      </c>
      <c r="J25" s="17">
        <f t="shared" si="9"/>
        <v>4</v>
      </c>
      <c r="K25" s="9">
        <f t="shared" si="2"/>
        <v>1.6</v>
      </c>
      <c r="L25" s="10">
        <f t="shared" si="3"/>
        <v>5.6</v>
      </c>
      <c r="M25" s="11">
        <f t="shared" si="10"/>
        <v>6.8750000000000009</v>
      </c>
      <c r="N25" s="11">
        <f t="shared" si="11"/>
        <v>1.6500000000000001</v>
      </c>
      <c r="O25" s="9">
        <v>1</v>
      </c>
      <c r="P25" s="9">
        <v>2</v>
      </c>
      <c r="Q25" s="9" t="s">
        <v>93</v>
      </c>
      <c r="R25" s="9"/>
      <c r="S25" s="9"/>
    </row>
    <row r="26" spans="1:19" ht="20.100000000000001" customHeight="1" x14ac:dyDescent="0.2">
      <c r="C26" s="12" t="s">
        <v>88</v>
      </c>
      <c r="D26" s="12"/>
      <c r="E26" s="12" t="s">
        <v>94</v>
      </c>
      <c r="F26" s="12" t="s">
        <v>57</v>
      </c>
      <c r="G26" s="18">
        <v>1.8</v>
      </c>
      <c r="H26" s="18">
        <v>1.5</v>
      </c>
      <c r="I26" s="18">
        <v>1.2</v>
      </c>
      <c r="J26" s="17">
        <f t="shared" si="9"/>
        <v>4.3499999999999996</v>
      </c>
      <c r="K26" s="9">
        <f t="shared" si="2"/>
        <v>1.65</v>
      </c>
      <c r="L26" s="10">
        <f t="shared" si="3"/>
        <v>6</v>
      </c>
      <c r="M26" s="11">
        <f t="shared" si="10"/>
        <v>7.5</v>
      </c>
      <c r="N26" s="11">
        <f t="shared" si="11"/>
        <v>1.7999999999999998</v>
      </c>
      <c r="O26" s="9">
        <v>1</v>
      </c>
      <c r="P26" s="9">
        <v>3</v>
      </c>
      <c r="Q26" s="9" t="s">
        <v>95</v>
      </c>
      <c r="R26" s="9"/>
      <c r="S26" s="9"/>
    </row>
    <row r="27" spans="1:19" ht="20.100000000000001" customHeight="1" x14ac:dyDescent="0.2">
      <c r="A27" s="3">
        <v>8</v>
      </c>
      <c r="B27" s="3">
        <v>9</v>
      </c>
      <c r="C27" s="5" t="s">
        <v>96</v>
      </c>
      <c r="D27" s="5"/>
      <c r="E27" s="5" t="s">
        <v>97</v>
      </c>
      <c r="F27" s="5" t="s">
        <v>57</v>
      </c>
      <c r="G27" s="19">
        <v>2</v>
      </c>
      <c r="H27" s="19">
        <v>2</v>
      </c>
      <c r="I27" s="19">
        <v>1.2</v>
      </c>
      <c r="J27" s="17">
        <f t="shared" si="9"/>
        <v>5</v>
      </c>
      <c r="K27" s="9">
        <f t="shared" si="2"/>
        <v>2</v>
      </c>
      <c r="L27" s="10">
        <f t="shared" si="3"/>
        <v>7</v>
      </c>
      <c r="M27" s="11">
        <f t="shared" ref="M27:M55" si="12">I27*$M$2</f>
        <v>7.5</v>
      </c>
      <c r="N27" s="11">
        <f t="shared" ref="N27:N55" si="13">I27*$M$3</f>
        <v>1.7999999999999998</v>
      </c>
      <c r="O27" s="9">
        <v>1</v>
      </c>
      <c r="P27" s="9">
        <v>3</v>
      </c>
      <c r="Q27" s="9" t="s">
        <v>95</v>
      </c>
      <c r="R27" s="9"/>
      <c r="S27" s="9"/>
    </row>
    <row r="28" spans="1:19" ht="20.100000000000001" customHeight="1" x14ac:dyDescent="0.2">
      <c r="C28" s="5" t="s">
        <v>96</v>
      </c>
      <c r="D28" s="5"/>
      <c r="E28" s="5" t="s">
        <v>98</v>
      </c>
      <c r="F28" s="5" t="s">
        <v>57</v>
      </c>
      <c r="G28" s="19">
        <v>2.1</v>
      </c>
      <c r="H28" s="19">
        <v>2.1</v>
      </c>
      <c r="I28" s="19">
        <v>1.3</v>
      </c>
      <c r="J28" s="17">
        <f t="shared" si="9"/>
        <v>5.25</v>
      </c>
      <c r="K28" s="9">
        <f t="shared" si="2"/>
        <v>2.1</v>
      </c>
      <c r="L28" s="10">
        <f t="shared" si="3"/>
        <v>7.35</v>
      </c>
      <c r="M28" s="11">
        <f t="shared" si="12"/>
        <v>8.125</v>
      </c>
      <c r="N28" s="11">
        <f t="shared" si="13"/>
        <v>1.9500000000000002</v>
      </c>
      <c r="O28" s="9">
        <v>1</v>
      </c>
      <c r="P28" s="9">
        <v>4</v>
      </c>
      <c r="Q28" s="9" t="s">
        <v>93</v>
      </c>
      <c r="R28" s="9"/>
      <c r="S28" s="9"/>
    </row>
    <row r="29" spans="1:19" ht="20.100000000000001" customHeight="1" x14ac:dyDescent="0.2">
      <c r="C29" s="5" t="s">
        <v>96</v>
      </c>
      <c r="D29" s="5"/>
      <c r="E29" s="5" t="s">
        <v>99</v>
      </c>
      <c r="F29" s="5" t="s">
        <v>57</v>
      </c>
      <c r="G29" s="19">
        <v>2.2999999999999998</v>
      </c>
      <c r="H29" s="19">
        <v>2.2000000000000002</v>
      </c>
      <c r="I29" s="19">
        <v>1.4</v>
      </c>
      <c r="J29" s="17">
        <f t="shared" si="9"/>
        <v>5.6999999999999993</v>
      </c>
      <c r="K29" s="9">
        <f t="shared" si="2"/>
        <v>2.25</v>
      </c>
      <c r="L29" s="10">
        <f t="shared" si="3"/>
        <v>7.9499999999999993</v>
      </c>
      <c r="M29" s="11">
        <f t="shared" si="12"/>
        <v>8.75</v>
      </c>
      <c r="N29" s="11">
        <f t="shared" si="13"/>
        <v>2.0999999999999996</v>
      </c>
      <c r="O29" s="9">
        <v>2</v>
      </c>
      <c r="P29" s="9">
        <v>4</v>
      </c>
      <c r="Q29" s="9" t="s">
        <v>100</v>
      </c>
      <c r="R29" s="9"/>
      <c r="S29" s="9"/>
    </row>
    <row r="30" spans="1:19" ht="20.100000000000001" customHeight="1" x14ac:dyDescent="0.2">
      <c r="A30" s="3">
        <v>9</v>
      </c>
      <c r="B30" s="3">
        <v>10</v>
      </c>
      <c r="C30" s="12" t="s">
        <v>101</v>
      </c>
      <c r="D30" s="12"/>
      <c r="E30" s="12" t="s">
        <v>102</v>
      </c>
      <c r="F30" s="12" t="s">
        <v>57</v>
      </c>
      <c r="G30" s="18">
        <v>2.5</v>
      </c>
      <c r="H30" s="18">
        <v>2.5</v>
      </c>
      <c r="I30" s="18">
        <v>1.5</v>
      </c>
      <c r="J30" s="17">
        <f t="shared" si="9"/>
        <v>6.25</v>
      </c>
      <c r="K30" s="9">
        <f t="shared" si="2"/>
        <v>2.5</v>
      </c>
      <c r="L30" s="10">
        <f t="shared" si="3"/>
        <v>8.75</v>
      </c>
      <c r="M30" s="11">
        <f t="shared" si="12"/>
        <v>9.375</v>
      </c>
      <c r="N30" s="11">
        <f t="shared" si="13"/>
        <v>2.25</v>
      </c>
      <c r="O30" s="9">
        <v>2</v>
      </c>
      <c r="P30" s="9">
        <v>4</v>
      </c>
      <c r="Q30" s="9" t="s">
        <v>103</v>
      </c>
      <c r="R30" s="9"/>
      <c r="S30" s="9"/>
    </row>
    <row r="31" spans="1:19" ht="20.100000000000001" customHeight="1" x14ac:dyDescent="0.2">
      <c r="C31" s="12" t="s">
        <v>101</v>
      </c>
      <c r="D31" s="12"/>
      <c r="E31" s="12" t="s">
        <v>104</v>
      </c>
      <c r="F31" s="12" t="s">
        <v>57</v>
      </c>
      <c r="G31" s="18">
        <v>2.6</v>
      </c>
      <c r="H31" s="18">
        <v>2.4</v>
      </c>
      <c r="I31" s="18">
        <v>1.6</v>
      </c>
      <c r="J31" s="17">
        <f t="shared" si="9"/>
        <v>6.4</v>
      </c>
      <c r="K31" s="9">
        <f t="shared" si="2"/>
        <v>2.5</v>
      </c>
      <c r="L31" s="10">
        <f t="shared" si="3"/>
        <v>8.9</v>
      </c>
      <c r="M31" s="11">
        <f t="shared" si="12"/>
        <v>10</v>
      </c>
      <c r="N31" s="11">
        <f t="shared" si="13"/>
        <v>2.4000000000000004</v>
      </c>
      <c r="O31" s="9">
        <v>2</v>
      </c>
      <c r="P31" s="9">
        <v>4</v>
      </c>
      <c r="Q31" s="9" t="s">
        <v>90</v>
      </c>
      <c r="R31" s="9"/>
      <c r="S31" s="9"/>
    </row>
    <row r="32" spans="1:19" ht="20.100000000000001" customHeight="1" x14ac:dyDescent="0.2">
      <c r="A32" s="3">
        <v>8</v>
      </c>
      <c r="B32" s="3">
        <v>12</v>
      </c>
      <c r="C32" s="5" t="s">
        <v>105</v>
      </c>
      <c r="D32" s="5" t="s">
        <v>106</v>
      </c>
      <c r="E32" s="5" t="s">
        <v>107</v>
      </c>
      <c r="F32" s="5" t="s">
        <v>57</v>
      </c>
      <c r="G32" s="19">
        <v>2.2999999999999998</v>
      </c>
      <c r="H32" s="19">
        <v>2.2000000000000002</v>
      </c>
      <c r="I32" s="19">
        <v>1.8</v>
      </c>
      <c r="J32" s="17">
        <f t="shared" si="9"/>
        <v>5.6999999999999993</v>
      </c>
      <c r="K32" s="9">
        <f t="shared" si="2"/>
        <v>2.25</v>
      </c>
      <c r="L32" s="10">
        <f t="shared" si="3"/>
        <v>7.9499999999999993</v>
      </c>
      <c r="M32" s="11">
        <f t="shared" si="12"/>
        <v>11.25</v>
      </c>
      <c r="N32" s="11">
        <f t="shared" si="13"/>
        <v>2.7</v>
      </c>
      <c r="O32" s="9">
        <v>3</v>
      </c>
      <c r="P32" s="9">
        <v>4</v>
      </c>
      <c r="Q32" s="9" t="s">
        <v>108</v>
      </c>
      <c r="R32" s="9"/>
      <c r="S32" s="9"/>
    </row>
    <row r="33" spans="1:19" ht="20.100000000000001" customHeight="1" x14ac:dyDescent="0.2">
      <c r="C33" s="5" t="s">
        <v>105</v>
      </c>
      <c r="D33" s="5" t="s">
        <v>109</v>
      </c>
      <c r="E33" s="5" t="s">
        <v>110</v>
      </c>
      <c r="F33" s="5" t="s">
        <v>57</v>
      </c>
      <c r="G33" s="19">
        <v>2.2000000000000002</v>
      </c>
      <c r="H33" s="19">
        <v>2.2000000000000002</v>
      </c>
      <c r="I33" s="19">
        <v>1.9</v>
      </c>
      <c r="J33" s="17">
        <f t="shared" si="9"/>
        <v>5.5</v>
      </c>
      <c r="K33" s="9">
        <f t="shared" si="2"/>
        <v>2.2000000000000002</v>
      </c>
      <c r="L33" s="10">
        <f t="shared" si="3"/>
        <v>7.7</v>
      </c>
      <c r="M33" s="11">
        <f t="shared" si="12"/>
        <v>11.875</v>
      </c>
      <c r="N33" s="11">
        <f t="shared" si="13"/>
        <v>2.8499999999999996</v>
      </c>
      <c r="O33" s="9">
        <v>2</v>
      </c>
      <c r="P33" s="9">
        <v>4</v>
      </c>
      <c r="Q33" s="9" t="s">
        <v>111</v>
      </c>
      <c r="R33" s="9"/>
      <c r="S33" s="9"/>
    </row>
    <row r="34" spans="1:19" ht="20.100000000000001" customHeight="1" x14ac:dyDescent="0.2">
      <c r="C34" s="5" t="s">
        <v>105</v>
      </c>
      <c r="D34" s="5" t="s">
        <v>112</v>
      </c>
      <c r="E34" s="5" t="s">
        <v>113</v>
      </c>
      <c r="F34" s="5" t="s">
        <v>57</v>
      </c>
      <c r="G34" s="19">
        <v>2.2000000000000002</v>
      </c>
      <c r="H34" s="19">
        <v>2.2999999999999998</v>
      </c>
      <c r="I34" s="19">
        <v>1.8</v>
      </c>
      <c r="J34" s="17">
        <f t="shared" si="9"/>
        <v>5.5500000000000007</v>
      </c>
      <c r="K34" s="9">
        <f t="shared" si="2"/>
        <v>2.25</v>
      </c>
      <c r="L34" s="10">
        <f t="shared" si="3"/>
        <v>7.8000000000000007</v>
      </c>
      <c r="M34" s="11">
        <f t="shared" si="12"/>
        <v>11.25</v>
      </c>
      <c r="N34" s="11">
        <f t="shared" si="13"/>
        <v>2.7</v>
      </c>
      <c r="O34" s="9">
        <v>2</v>
      </c>
      <c r="P34" s="9">
        <v>5</v>
      </c>
      <c r="Q34" s="9" t="s">
        <v>60</v>
      </c>
      <c r="R34" s="9"/>
      <c r="S34" s="9"/>
    </row>
    <row r="35" spans="1:19" ht="20.100000000000001" customHeight="1" x14ac:dyDescent="0.2">
      <c r="A35" s="3">
        <v>9</v>
      </c>
      <c r="B35" s="3">
        <v>12.5</v>
      </c>
      <c r="C35" s="12" t="s">
        <v>114</v>
      </c>
      <c r="D35" s="12" t="s">
        <v>115</v>
      </c>
      <c r="E35" s="12" t="s">
        <v>116</v>
      </c>
      <c r="F35" s="12" t="s">
        <v>57</v>
      </c>
      <c r="G35" s="18">
        <v>2.2999999999999998</v>
      </c>
      <c r="H35" s="18">
        <v>2.2999999999999998</v>
      </c>
      <c r="I35" s="18">
        <v>1.8</v>
      </c>
      <c r="J35" s="17">
        <f t="shared" si="9"/>
        <v>5.75</v>
      </c>
      <c r="K35" s="9">
        <f t="shared" si="2"/>
        <v>2.2999999999999998</v>
      </c>
      <c r="L35" s="10">
        <f t="shared" si="3"/>
        <v>8.0500000000000007</v>
      </c>
      <c r="M35" s="11">
        <f t="shared" si="12"/>
        <v>11.25</v>
      </c>
      <c r="N35" s="11">
        <f t="shared" si="13"/>
        <v>2.7</v>
      </c>
      <c r="O35" s="9">
        <v>3</v>
      </c>
      <c r="P35" s="9">
        <v>5</v>
      </c>
      <c r="Q35" s="9" t="s">
        <v>117</v>
      </c>
      <c r="R35" s="9"/>
      <c r="S35" s="9"/>
    </row>
    <row r="36" spans="1:19" ht="20.100000000000001" customHeight="1" x14ac:dyDescent="0.2">
      <c r="C36" s="12" t="s">
        <v>114</v>
      </c>
      <c r="D36" s="12" t="s">
        <v>118</v>
      </c>
      <c r="E36" s="12" t="s">
        <v>119</v>
      </c>
      <c r="F36" s="12" t="s">
        <v>53</v>
      </c>
      <c r="G36" s="18">
        <v>2.4</v>
      </c>
      <c r="H36" s="18">
        <v>2.4</v>
      </c>
      <c r="I36" s="18">
        <v>1.9</v>
      </c>
      <c r="J36" s="17">
        <f t="shared" si="9"/>
        <v>6</v>
      </c>
      <c r="K36" s="9">
        <f t="shared" si="2"/>
        <v>2.4</v>
      </c>
      <c r="L36" s="10">
        <f t="shared" si="3"/>
        <v>8.4</v>
      </c>
      <c r="M36" s="11">
        <f t="shared" si="12"/>
        <v>11.875</v>
      </c>
      <c r="N36" s="11">
        <f t="shared" si="13"/>
        <v>2.8499999999999996</v>
      </c>
      <c r="O36" s="9">
        <v>2</v>
      </c>
      <c r="P36" s="9">
        <v>4</v>
      </c>
      <c r="Q36" s="9" t="s">
        <v>120</v>
      </c>
      <c r="R36" s="9"/>
      <c r="S36" s="9"/>
    </row>
    <row r="37" spans="1:19" ht="20.100000000000001" customHeight="1" x14ac:dyDescent="0.2">
      <c r="C37" s="12" t="s">
        <v>114</v>
      </c>
      <c r="D37" s="12" t="s">
        <v>121</v>
      </c>
      <c r="E37" s="12" t="s">
        <v>122</v>
      </c>
      <c r="F37" s="12" t="s">
        <v>57</v>
      </c>
      <c r="G37" s="18">
        <v>2.5</v>
      </c>
      <c r="H37" s="18">
        <v>2.5</v>
      </c>
      <c r="I37" s="20">
        <v>2</v>
      </c>
      <c r="J37" s="17">
        <f t="shared" si="9"/>
        <v>6.25</v>
      </c>
      <c r="K37" s="9">
        <f t="shared" si="2"/>
        <v>2.5</v>
      </c>
      <c r="L37" s="10">
        <f t="shared" si="3"/>
        <v>8.75</v>
      </c>
      <c r="M37" s="11">
        <f t="shared" si="12"/>
        <v>12.5</v>
      </c>
      <c r="N37" s="11">
        <f t="shared" si="13"/>
        <v>3</v>
      </c>
      <c r="O37" s="9">
        <v>2</v>
      </c>
      <c r="P37" s="9">
        <v>4</v>
      </c>
      <c r="Q37" s="9" t="s">
        <v>123</v>
      </c>
      <c r="R37" s="9"/>
      <c r="S37" s="9"/>
    </row>
    <row r="38" spans="1:19" ht="20.100000000000001" customHeight="1" x14ac:dyDescent="0.2">
      <c r="A38" s="3">
        <v>10</v>
      </c>
      <c r="B38" s="3">
        <v>13</v>
      </c>
      <c r="C38" s="5" t="s">
        <v>124</v>
      </c>
      <c r="D38" s="5" t="s">
        <v>125</v>
      </c>
      <c r="E38" s="5" t="s">
        <v>126</v>
      </c>
      <c r="F38" s="5" t="s">
        <v>53</v>
      </c>
      <c r="G38" s="19">
        <v>2.8</v>
      </c>
      <c r="H38" s="19">
        <v>2.8</v>
      </c>
      <c r="I38" s="19">
        <v>2</v>
      </c>
      <c r="J38" s="17">
        <f t="shared" si="9"/>
        <v>7</v>
      </c>
      <c r="K38" s="9">
        <f t="shared" si="2"/>
        <v>2.8</v>
      </c>
      <c r="L38" s="10">
        <f t="shared" si="3"/>
        <v>9.8000000000000007</v>
      </c>
      <c r="M38" s="11">
        <f t="shared" si="12"/>
        <v>12.5</v>
      </c>
      <c r="N38" s="11">
        <f t="shared" si="13"/>
        <v>3</v>
      </c>
      <c r="O38" s="9">
        <v>3</v>
      </c>
      <c r="P38" s="9">
        <v>4</v>
      </c>
      <c r="Q38" s="9" t="s">
        <v>81</v>
      </c>
      <c r="R38" s="9"/>
      <c r="S38" s="9"/>
    </row>
    <row r="39" spans="1:19" ht="20.100000000000001" customHeight="1" x14ac:dyDescent="0.2">
      <c r="C39" s="5" t="s">
        <v>124</v>
      </c>
      <c r="D39" s="5" t="s">
        <v>127</v>
      </c>
      <c r="E39" s="5" t="s">
        <v>128</v>
      </c>
      <c r="F39" s="5" t="s">
        <v>57</v>
      </c>
      <c r="G39" s="19">
        <v>2.8</v>
      </c>
      <c r="H39" s="19">
        <v>2.9</v>
      </c>
      <c r="I39" s="19">
        <v>2</v>
      </c>
      <c r="J39" s="17">
        <f t="shared" si="9"/>
        <v>7.05</v>
      </c>
      <c r="K39" s="9">
        <f t="shared" si="2"/>
        <v>2.8499999999999996</v>
      </c>
      <c r="L39" s="10">
        <f t="shared" si="3"/>
        <v>9.8999999999999986</v>
      </c>
      <c r="M39" s="11">
        <f t="shared" si="12"/>
        <v>12.5</v>
      </c>
      <c r="N39" s="11">
        <f t="shared" si="13"/>
        <v>3</v>
      </c>
      <c r="O39" s="9">
        <v>2</v>
      </c>
      <c r="P39" s="9">
        <v>4</v>
      </c>
      <c r="Q39" s="9" t="s">
        <v>129</v>
      </c>
      <c r="R39" s="9"/>
      <c r="S39" s="9"/>
    </row>
    <row r="40" spans="1:19" ht="20.100000000000001" customHeight="1" x14ac:dyDescent="0.2">
      <c r="C40" s="5" t="s">
        <v>124</v>
      </c>
      <c r="D40" s="5" t="s">
        <v>130</v>
      </c>
      <c r="E40" s="5" t="s">
        <v>131</v>
      </c>
      <c r="F40" s="5" t="s">
        <v>57</v>
      </c>
      <c r="G40" s="19">
        <v>3</v>
      </c>
      <c r="H40" s="19">
        <v>2.5</v>
      </c>
      <c r="I40" s="19">
        <v>2.1</v>
      </c>
      <c r="J40" s="17">
        <f t="shared" ref="J40:J45" si="14">(G40*$I$2)+(H40*$I$3)</f>
        <v>7.25</v>
      </c>
      <c r="K40" s="9">
        <f t="shared" ref="K40" si="15">(G40*$I$5)+(H40*$I$6)+(I40*$I$7)</f>
        <v>2.75</v>
      </c>
      <c r="L40" s="10">
        <f t="shared" ref="L40" si="16">J40+K40</f>
        <v>10</v>
      </c>
      <c r="M40" s="11">
        <f t="shared" ref="M40" si="17">I40*$M$2</f>
        <v>13.125</v>
      </c>
      <c r="N40" s="11">
        <f t="shared" ref="N40" si="18">I40*$M$3</f>
        <v>3.1500000000000004</v>
      </c>
      <c r="O40" s="9">
        <v>4</v>
      </c>
      <c r="P40" s="9">
        <v>4</v>
      </c>
      <c r="Q40" s="9" t="s">
        <v>60</v>
      </c>
      <c r="R40" s="9"/>
      <c r="S40" s="9"/>
    </row>
    <row r="41" spans="1:19" ht="20.100000000000001" customHeight="1" x14ac:dyDescent="0.2">
      <c r="A41" s="3">
        <v>11</v>
      </c>
      <c r="B41" s="3">
        <v>13.5</v>
      </c>
      <c r="C41" s="12" t="s">
        <v>132</v>
      </c>
      <c r="D41" s="12" t="s">
        <v>133</v>
      </c>
      <c r="E41" s="12" t="s">
        <v>134</v>
      </c>
      <c r="F41" s="12" t="s">
        <v>57</v>
      </c>
      <c r="G41" s="18">
        <v>3</v>
      </c>
      <c r="H41" s="18">
        <v>3</v>
      </c>
      <c r="I41" s="18">
        <v>2</v>
      </c>
      <c r="J41" s="17">
        <f t="shared" si="14"/>
        <v>7.5</v>
      </c>
      <c r="K41" s="9">
        <f t="shared" si="2"/>
        <v>3</v>
      </c>
      <c r="L41" s="10">
        <f t="shared" si="3"/>
        <v>10.5</v>
      </c>
      <c r="M41" s="11">
        <f t="shared" si="12"/>
        <v>12.5</v>
      </c>
      <c r="N41" s="11">
        <f t="shared" si="13"/>
        <v>3</v>
      </c>
      <c r="O41" s="9">
        <v>3</v>
      </c>
      <c r="P41" s="9">
        <v>3</v>
      </c>
      <c r="Q41" s="9" t="s">
        <v>135</v>
      </c>
      <c r="R41" s="9"/>
      <c r="S41" s="9"/>
    </row>
    <row r="42" spans="1:19" ht="20.100000000000001" customHeight="1" x14ac:dyDescent="0.2">
      <c r="C42" s="12" t="s">
        <v>132</v>
      </c>
      <c r="D42" s="12" t="s">
        <v>136</v>
      </c>
      <c r="E42" s="12" t="s">
        <v>137</v>
      </c>
      <c r="F42" s="12" t="s">
        <v>53</v>
      </c>
      <c r="G42" s="18">
        <v>3.2</v>
      </c>
      <c r="H42" s="18">
        <v>2.9</v>
      </c>
      <c r="I42" s="18">
        <v>2.1</v>
      </c>
      <c r="J42" s="17">
        <f t="shared" si="14"/>
        <v>7.8500000000000005</v>
      </c>
      <c r="K42" s="9">
        <f t="shared" si="2"/>
        <v>3.05</v>
      </c>
      <c r="L42" s="10">
        <f t="shared" si="3"/>
        <v>10.9</v>
      </c>
      <c r="M42" s="11">
        <f t="shared" si="12"/>
        <v>13.125</v>
      </c>
      <c r="N42" s="11">
        <f t="shared" si="13"/>
        <v>3.1500000000000004</v>
      </c>
      <c r="O42" s="9">
        <v>4</v>
      </c>
      <c r="P42" s="9">
        <v>6</v>
      </c>
      <c r="Q42" s="9" t="s">
        <v>117</v>
      </c>
      <c r="R42" s="9"/>
      <c r="S42" s="9"/>
    </row>
    <row r="43" spans="1:19" ht="20.100000000000001" customHeight="1" x14ac:dyDescent="0.2">
      <c r="A43" s="3">
        <v>13</v>
      </c>
      <c r="B43" s="3">
        <v>14</v>
      </c>
      <c r="C43" s="5" t="s">
        <v>138</v>
      </c>
      <c r="D43" s="5" t="s">
        <v>139</v>
      </c>
      <c r="E43" s="5" t="s">
        <v>140</v>
      </c>
      <c r="F43" s="5" t="s">
        <v>57</v>
      </c>
      <c r="G43" s="19">
        <v>3.3</v>
      </c>
      <c r="H43" s="19">
        <v>3.3</v>
      </c>
      <c r="I43" s="19">
        <v>2.2000000000000002</v>
      </c>
      <c r="J43" s="17">
        <f t="shared" si="14"/>
        <v>8.25</v>
      </c>
      <c r="K43" s="9">
        <f t="shared" si="2"/>
        <v>3.3</v>
      </c>
      <c r="L43" s="10">
        <f t="shared" si="3"/>
        <v>11.55</v>
      </c>
      <c r="M43" s="11">
        <f t="shared" si="12"/>
        <v>13.750000000000002</v>
      </c>
      <c r="N43" s="11">
        <f t="shared" si="13"/>
        <v>3.3000000000000003</v>
      </c>
      <c r="O43" s="9">
        <v>4</v>
      </c>
      <c r="P43" s="9">
        <v>5</v>
      </c>
      <c r="Q43" s="9" t="s">
        <v>85</v>
      </c>
      <c r="R43" s="9"/>
      <c r="S43" s="9"/>
    </row>
    <row r="44" spans="1:19" ht="20.100000000000001" customHeight="1" x14ac:dyDescent="0.2">
      <c r="C44" s="5" t="s">
        <v>138</v>
      </c>
      <c r="D44" s="5" t="s">
        <v>141</v>
      </c>
      <c r="E44" s="5" t="s">
        <v>142</v>
      </c>
      <c r="F44" s="5" t="s">
        <v>57</v>
      </c>
      <c r="G44" s="19">
        <v>3.4</v>
      </c>
      <c r="H44" s="19">
        <v>3.4</v>
      </c>
      <c r="I44" s="19">
        <v>2.2000000000000002</v>
      </c>
      <c r="J44" s="17">
        <f t="shared" si="14"/>
        <v>8.5</v>
      </c>
      <c r="K44" s="9">
        <f t="shared" si="2"/>
        <v>3.4</v>
      </c>
      <c r="L44" s="10">
        <f t="shared" si="3"/>
        <v>11.9</v>
      </c>
      <c r="M44" s="11">
        <f t="shared" si="12"/>
        <v>13.750000000000002</v>
      </c>
      <c r="N44" s="11">
        <f t="shared" si="13"/>
        <v>3.3000000000000003</v>
      </c>
      <c r="O44" s="9">
        <v>4</v>
      </c>
      <c r="P44" s="9">
        <v>4</v>
      </c>
      <c r="Q44" s="9" t="s">
        <v>60</v>
      </c>
      <c r="R44" s="9"/>
      <c r="S44" s="9"/>
    </row>
    <row r="45" spans="1:19" ht="20.100000000000001" customHeight="1" x14ac:dyDescent="0.2">
      <c r="C45" s="5" t="s">
        <v>138</v>
      </c>
      <c r="D45" s="5" t="s">
        <v>143</v>
      </c>
      <c r="E45" s="5" t="s">
        <v>144</v>
      </c>
      <c r="F45" s="5" t="s">
        <v>57</v>
      </c>
      <c r="G45" s="19">
        <v>3.6</v>
      </c>
      <c r="H45" s="19">
        <v>3.3</v>
      </c>
      <c r="I45" s="19">
        <v>2.2000000000000002</v>
      </c>
      <c r="J45" s="17">
        <f t="shared" si="14"/>
        <v>8.85</v>
      </c>
      <c r="K45" s="9">
        <f t="shared" si="2"/>
        <v>3.45</v>
      </c>
      <c r="L45" s="10">
        <f t="shared" si="3"/>
        <v>12.3</v>
      </c>
      <c r="M45" s="11">
        <f t="shared" si="12"/>
        <v>13.750000000000002</v>
      </c>
      <c r="N45" s="11">
        <f t="shared" si="13"/>
        <v>3.3000000000000003</v>
      </c>
      <c r="O45" s="9">
        <v>4</v>
      </c>
      <c r="P45" s="9">
        <v>4</v>
      </c>
      <c r="Q45" s="9" t="s">
        <v>79</v>
      </c>
      <c r="R45" s="9"/>
      <c r="S45" s="9"/>
    </row>
    <row r="46" spans="1:19" ht="20.100000000000001" customHeight="1" x14ac:dyDescent="0.2">
      <c r="C46" s="5" t="s">
        <v>138</v>
      </c>
      <c r="D46" s="22" t="s">
        <v>145</v>
      </c>
      <c r="E46" s="5" t="s">
        <v>146</v>
      </c>
      <c r="F46" s="5" t="s">
        <v>57</v>
      </c>
      <c r="G46" s="19">
        <v>2</v>
      </c>
      <c r="H46" s="19">
        <v>9</v>
      </c>
      <c r="I46" s="19">
        <v>2.2999999999999998</v>
      </c>
      <c r="J46" s="17">
        <f t="shared" ref="J46:J57" si="19">(G46*$I$2)+(H46*$I$3)</f>
        <v>8.5</v>
      </c>
      <c r="K46" s="9">
        <f t="shared" ref="K46" si="20">(G46*$I$5)+(H46*$I$6)+(I46*$I$7)</f>
        <v>5.5</v>
      </c>
      <c r="L46" s="10">
        <f t="shared" ref="L46" si="21">J46+K46</f>
        <v>14</v>
      </c>
      <c r="M46" s="11">
        <f t="shared" ref="M46" si="22">I46*$M$2</f>
        <v>14.374999999999998</v>
      </c>
      <c r="N46" s="11">
        <f t="shared" ref="N46" si="23">I46*$M$3</f>
        <v>3.4499999999999997</v>
      </c>
      <c r="O46" s="9">
        <v>4</v>
      </c>
      <c r="P46" s="9">
        <v>2</v>
      </c>
      <c r="Q46" s="9" t="s">
        <v>147</v>
      </c>
      <c r="R46" s="9"/>
      <c r="S46" s="9"/>
    </row>
    <row r="47" spans="1:19" ht="20.100000000000001" customHeight="1" x14ac:dyDescent="0.2">
      <c r="A47" s="3">
        <v>14</v>
      </c>
      <c r="B47" s="3">
        <v>15</v>
      </c>
      <c r="C47" s="12" t="s">
        <v>148</v>
      </c>
      <c r="D47" s="12" t="s">
        <v>149</v>
      </c>
      <c r="E47" s="12" t="s">
        <v>150</v>
      </c>
      <c r="F47" s="12" t="s">
        <v>57</v>
      </c>
      <c r="G47" s="18">
        <v>3.5</v>
      </c>
      <c r="H47" s="18">
        <v>3.5</v>
      </c>
      <c r="I47" s="18">
        <v>2.2999999999999998</v>
      </c>
      <c r="J47" s="17">
        <f t="shared" si="19"/>
        <v>8.75</v>
      </c>
      <c r="K47" s="9">
        <f t="shared" si="2"/>
        <v>3.5</v>
      </c>
      <c r="L47" s="10">
        <f t="shared" si="3"/>
        <v>12.25</v>
      </c>
      <c r="M47" s="11">
        <f t="shared" si="12"/>
        <v>14.374999999999998</v>
      </c>
      <c r="N47" s="11">
        <f t="shared" si="13"/>
        <v>3.4499999999999997</v>
      </c>
      <c r="O47" s="9">
        <v>3</v>
      </c>
      <c r="P47" s="9">
        <v>3</v>
      </c>
      <c r="Q47" s="9" t="s">
        <v>151</v>
      </c>
      <c r="R47" s="9"/>
      <c r="S47" s="9"/>
    </row>
    <row r="48" spans="1:19" ht="20.100000000000001" customHeight="1" x14ac:dyDescent="0.2">
      <c r="C48" s="12" t="s">
        <v>148</v>
      </c>
      <c r="D48" s="12" t="s">
        <v>152</v>
      </c>
      <c r="E48" s="12" t="s">
        <v>153</v>
      </c>
      <c r="F48" s="12" t="s">
        <v>57</v>
      </c>
      <c r="G48" s="18">
        <v>4</v>
      </c>
      <c r="H48" s="18">
        <v>3.7</v>
      </c>
      <c r="I48" s="18">
        <v>2.4</v>
      </c>
      <c r="J48" s="17">
        <f t="shared" si="19"/>
        <v>9.85</v>
      </c>
      <c r="K48" s="9">
        <f t="shared" si="2"/>
        <v>3.85</v>
      </c>
      <c r="L48" s="10">
        <f t="shared" si="3"/>
        <v>13.7</v>
      </c>
      <c r="M48" s="11">
        <f t="shared" si="12"/>
        <v>15</v>
      </c>
      <c r="N48" s="11">
        <f t="shared" si="13"/>
        <v>3.5999999999999996</v>
      </c>
      <c r="O48" s="9">
        <v>2</v>
      </c>
      <c r="P48" s="9">
        <v>4</v>
      </c>
      <c r="Q48" s="9" t="s">
        <v>60</v>
      </c>
      <c r="R48" s="9"/>
      <c r="S48" s="9"/>
    </row>
    <row r="49" spans="1:21" ht="20.100000000000001" customHeight="1" x14ac:dyDescent="0.2">
      <c r="A49" s="3">
        <v>16</v>
      </c>
      <c r="B49" s="3">
        <v>16</v>
      </c>
      <c r="C49" s="5" t="s">
        <v>154</v>
      </c>
      <c r="D49" s="5" t="s">
        <v>155</v>
      </c>
      <c r="E49" s="5" t="s">
        <v>156</v>
      </c>
      <c r="F49" s="5" t="s">
        <v>57</v>
      </c>
      <c r="G49" s="19">
        <v>4.0999999999999996</v>
      </c>
      <c r="H49" s="19">
        <v>4.3</v>
      </c>
      <c r="I49" s="19">
        <v>2.5</v>
      </c>
      <c r="J49" s="17">
        <f t="shared" si="19"/>
        <v>10.35</v>
      </c>
      <c r="K49" s="9">
        <f t="shared" si="2"/>
        <v>4.1999999999999993</v>
      </c>
      <c r="L49" s="10">
        <f t="shared" si="3"/>
        <v>14.549999999999999</v>
      </c>
      <c r="M49" s="11">
        <f t="shared" si="12"/>
        <v>15.625</v>
      </c>
      <c r="N49" s="11">
        <f t="shared" si="13"/>
        <v>3.75</v>
      </c>
      <c r="O49" s="9">
        <v>4</v>
      </c>
      <c r="P49" s="9">
        <v>4</v>
      </c>
      <c r="Q49" s="9" t="s">
        <v>123</v>
      </c>
      <c r="R49" s="9" t="s">
        <v>157</v>
      </c>
      <c r="S49" s="9"/>
    </row>
    <row r="50" spans="1:21" ht="20.100000000000001" customHeight="1" x14ac:dyDescent="0.2">
      <c r="C50" s="5" t="s">
        <v>154</v>
      </c>
      <c r="D50" s="5" t="s">
        <v>158</v>
      </c>
      <c r="E50" s="5" t="s">
        <v>159</v>
      </c>
      <c r="F50" s="5" t="s">
        <v>57</v>
      </c>
      <c r="G50" s="19">
        <v>4.2</v>
      </c>
      <c r="H50" s="19">
        <v>4.5</v>
      </c>
      <c r="I50" s="19">
        <v>2.5</v>
      </c>
      <c r="J50" s="17">
        <f t="shared" si="19"/>
        <v>10.65</v>
      </c>
      <c r="K50" s="9">
        <f t="shared" si="2"/>
        <v>4.3499999999999996</v>
      </c>
      <c r="L50" s="10">
        <f t="shared" si="3"/>
        <v>15</v>
      </c>
      <c r="M50" s="11">
        <f t="shared" si="12"/>
        <v>15.625</v>
      </c>
      <c r="N50" s="11">
        <f t="shared" si="13"/>
        <v>3.75</v>
      </c>
      <c r="O50" s="9">
        <v>3</v>
      </c>
      <c r="P50" s="9">
        <v>5</v>
      </c>
      <c r="Q50" s="9" t="s">
        <v>160</v>
      </c>
      <c r="R50" s="9" t="s">
        <v>161</v>
      </c>
      <c r="S50" s="9"/>
    </row>
    <row r="51" spans="1:21" ht="20.100000000000001" customHeight="1" x14ac:dyDescent="0.2">
      <c r="C51" s="5" t="s">
        <v>154</v>
      </c>
      <c r="D51" s="5" t="s">
        <v>162</v>
      </c>
      <c r="E51" s="5" t="s">
        <v>163</v>
      </c>
      <c r="F51" s="5" t="s">
        <v>57</v>
      </c>
      <c r="G51" s="19">
        <v>4.5999999999999996</v>
      </c>
      <c r="H51" s="19">
        <v>4.5</v>
      </c>
      <c r="I51" s="19">
        <v>2.5</v>
      </c>
      <c r="J51" s="17">
        <f t="shared" si="19"/>
        <v>11.45</v>
      </c>
      <c r="K51" s="9">
        <f t="shared" si="2"/>
        <v>4.55</v>
      </c>
      <c r="L51" s="10">
        <f t="shared" si="3"/>
        <v>16</v>
      </c>
      <c r="M51" s="11">
        <f t="shared" si="12"/>
        <v>15.625</v>
      </c>
      <c r="N51" s="11">
        <f t="shared" si="13"/>
        <v>3.75</v>
      </c>
      <c r="O51" s="9">
        <v>4</v>
      </c>
      <c r="P51" s="9">
        <v>4</v>
      </c>
      <c r="Q51" s="9" t="s">
        <v>164</v>
      </c>
      <c r="R51" s="9"/>
      <c r="S51" s="9"/>
    </row>
    <row r="52" spans="1:21" ht="20.100000000000001" customHeight="1" x14ac:dyDescent="0.2">
      <c r="C52" s="5" t="s">
        <v>154</v>
      </c>
      <c r="D52" s="5" t="s">
        <v>165</v>
      </c>
      <c r="E52" s="5" t="s">
        <v>166</v>
      </c>
      <c r="F52" s="5" t="s">
        <v>57</v>
      </c>
      <c r="G52" s="19">
        <v>4.5999999999999996</v>
      </c>
      <c r="H52" s="19">
        <v>4.5</v>
      </c>
      <c r="I52" s="19">
        <v>2.5</v>
      </c>
      <c r="J52" s="17">
        <f t="shared" si="19"/>
        <v>11.45</v>
      </c>
      <c r="K52" s="9">
        <f t="shared" si="2"/>
        <v>4.55</v>
      </c>
      <c r="L52" s="10">
        <f t="shared" si="3"/>
        <v>16</v>
      </c>
      <c r="M52" s="11">
        <f t="shared" si="12"/>
        <v>15.625</v>
      </c>
      <c r="N52" s="11">
        <f t="shared" si="13"/>
        <v>3.75</v>
      </c>
      <c r="O52" s="9">
        <v>4</v>
      </c>
      <c r="P52" s="9">
        <v>5</v>
      </c>
      <c r="Q52" s="9" t="s">
        <v>167</v>
      </c>
      <c r="R52" s="9"/>
      <c r="S52" s="9"/>
    </row>
    <row r="53" spans="1:21" ht="20.100000000000001" customHeight="1" x14ac:dyDescent="0.2">
      <c r="A53" s="3">
        <v>19</v>
      </c>
      <c r="B53" s="3">
        <v>18</v>
      </c>
      <c r="C53" s="12" t="s">
        <v>168</v>
      </c>
      <c r="D53" s="12" t="s">
        <v>169</v>
      </c>
      <c r="E53" s="12" t="s">
        <v>170</v>
      </c>
      <c r="F53" s="12" t="s">
        <v>57</v>
      </c>
      <c r="G53" s="18">
        <v>4.2</v>
      </c>
      <c r="H53" s="18">
        <v>3</v>
      </c>
      <c r="I53" s="18">
        <v>2.2000000000000002</v>
      </c>
      <c r="J53" s="17">
        <f t="shared" si="19"/>
        <v>9.9</v>
      </c>
      <c r="K53" s="9">
        <f t="shared" si="2"/>
        <v>3.6</v>
      </c>
      <c r="L53" s="10">
        <f t="shared" si="3"/>
        <v>13.5</v>
      </c>
      <c r="M53" s="11">
        <f t="shared" si="12"/>
        <v>13.750000000000002</v>
      </c>
      <c r="N53" s="11">
        <f t="shared" si="13"/>
        <v>3.3000000000000003</v>
      </c>
      <c r="O53" s="9">
        <v>4</v>
      </c>
      <c r="P53" s="9">
        <v>5</v>
      </c>
      <c r="Q53" s="9" t="s">
        <v>171</v>
      </c>
      <c r="R53" s="9"/>
      <c r="S53" s="9"/>
    </row>
    <row r="54" spans="1:21" ht="20.100000000000001" customHeight="1" x14ac:dyDescent="0.2">
      <c r="C54" s="12" t="s">
        <v>168</v>
      </c>
      <c r="D54" s="12" t="s">
        <v>172</v>
      </c>
      <c r="E54" s="12" t="s">
        <v>173</v>
      </c>
      <c r="F54" s="12" t="s">
        <v>57</v>
      </c>
      <c r="G54" s="18">
        <v>6</v>
      </c>
      <c r="H54" s="18">
        <v>3</v>
      </c>
      <c r="I54" s="18">
        <v>2.6</v>
      </c>
      <c r="J54" s="17">
        <f t="shared" si="19"/>
        <v>13.5</v>
      </c>
      <c r="K54" s="9">
        <f t="shared" si="2"/>
        <v>4.5</v>
      </c>
      <c r="L54" s="10">
        <f t="shared" si="3"/>
        <v>18</v>
      </c>
      <c r="M54" s="11">
        <f t="shared" si="12"/>
        <v>16.25</v>
      </c>
      <c r="N54" s="11">
        <f t="shared" si="13"/>
        <v>3.9000000000000004</v>
      </c>
      <c r="O54" s="9">
        <v>4</v>
      </c>
      <c r="P54" s="9">
        <v>5</v>
      </c>
      <c r="Q54" s="9" t="s">
        <v>60</v>
      </c>
      <c r="R54" s="9"/>
      <c r="S54" s="9"/>
    </row>
    <row r="55" spans="1:21" ht="20.100000000000001" customHeight="1" x14ac:dyDescent="0.2">
      <c r="C55" s="12" t="s">
        <v>168</v>
      </c>
      <c r="D55" s="12" t="s">
        <v>174</v>
      </c>
      <c r="E55" s="12" t="s">
        <v>175</v>
      </c>
      <c r="F55" s="12" t="s">
        <v>57</v>
      </c>
      <c r="G55" s="18">
        <v>4.2</v>
      </c>
      <c r="H55" s="18">
        <v>3</v>
      </c>
      <c r="I55" s="18">
        <v>2.2000000000000002</v>
      </c>
      <c r="J55" s="17">
        <f t="shared" si="19"/>
        <v>9.9</v>
      </c>
      <c r="K55" s="9">
        <f t="shared" si="2"/>
        <v>3.6</v>
      </c>
      <c r="L55" s="10">
        <f t="shared" si="3"/>
        <v>13.5</v>
      </c>
      <c r="M55" s="11">
        <f t="shared" si="12"/>
        <v>13.750000000000002</v>
      </c>
      <c r="N55" s="11">
        <f t="shared" si="13"/>
        <v>3.3000000000000003</v>
      </c>
      <c r="O55" s="9">
        <v>4</v>
      </c>
      <c r="P55" s="9">
        <v>5</v>
      </c>
      <c r="Q55" s="9" t="s">
        <v>176</v>
      </c>
      <c r="R55" s="9" t="s">
        <v>177</v>
      </c>
      <c r="S55" s="9"/>
    </row>
    <row r="56" spans="1:21" ht="20.100000000000001" customHeight="1" x14ac:dyDescent="0.2">
      <c r="C56" s="5" t="s">
        <v>178</v>
      </c>
      <c r="D56" s="5" t="s">
        <v>179</v>
      </c>
      <c r="E56" s="5" t="s">
        <v>180</v>
      </c>
      <c r="F56" s="5" t="s">
        <v>53</v>
      </c>
      <c r="G56" s="19">
        <v>5.4</v>
      </c>
      <c r="H56" s="19">
        <v>5.4</v>
      </c>
      <c r="I56" s="19">
        <v>2.8</v>
      </c>
      <c r="J56" s="17">
        <f t="shared" si="19"/>
        <v>13.5</v>
      </c>
      <c r="K56" s="9">
        <f t="shared" si="2"/>
        <v>5.4</v>
      </c>
      <c r="L56" s="10">
        <f t="shared" ref="L56:L57" si="24">J56+K56</f>
        <v>18.899999999999999</v>
      </c>
      <c r="M56" s="11">
        <f t="shared" ref="M56:M57" si="25">I56*$M$2</f>
        <v>17.5</v>
      </c>
      <c r="N56" s="11">
        <f t="shared" ref="N56:N57" si="26">I56*$M$3</f>
        <v>4.1999999999999993</v>
      </c>
      <c r="O56" s="9">
        <v>3</v>
      </c>
      <c r="P56" s="9">
        <v>4</v>
      </c>
      <c r="Q56" s="9" t="s">
        <v>147</v>
      </c>
      <c r="R56" s="9"/>
      <c r="S56" s="9"/>
    </row>
    <row r="57" spans="1:21" ht="20.100000000000001" customHeight="1" x14ac:dyDescent="0.2">
      <c r="C57" s="5" t="s">
        <v>178</v>
      </c>
      <c r="D57" s="5" t="s">
        <v>181</v>
      </c>
      <c r="E57" s="5" t="s">
        <v>182</v>
      </c>
      <c r="F57" s="5" t="s">
        <v>57</v>
      </c>
      <c r="G57" s="19">
        <v>5.4</v>
      </c>
      <c r="H57" s="19">
        <v>5.5</v>
      </c>
      <c r="I57" s="19">
        <v>2.9</v>
      </c>
      <c r="J57" s="17">
        <f t="shared" si="19"/>
        <v>13.55</v>
      </c>
      <c r="K57" s="9">
        <f t="shared" si="2"/>
        <v>5.45</v>
      </c>
      <c r="L57" s="10">
        <f t="shared" si="24"/>
        <v>19</v>
      </c>
      <c r="M57" s="11">
        <f t="shared" si="25"/>
        <v>18.125</v>
      </c>
      <c r="N57" s="11">
        <f t="shared" si="26"/>
        <v>4.3499999999999996</v>
      </c>
      <c r="O57" s="9">
        <v>3</v>
      </c>
      <c r="P57" s="9">
        <v>4</v>
      </c>
      <c r="Q57" s="9" t="s">
        <v>183</v>
      </c>
      <c r="R57" s="9" t="s">
        <v>184</v>
      </c>
      <c r="S57" s="9"/>
    </row>
    <row r="58" spans="1:21" ht="20.100000000000001" customHeight="1" x14ac:dyDescent="0.2">
      <c r="A58" s="3">
        <v>22</v>
      </c>
      <c r="B58" s="3">
        <v>20</v>
      </c>
      <c r="C58" s="12" t="s">
        <v>185</v>
      </c>
      <c r="D58" s="12" t="s">
        <v>186</v>
      </c>
      <c r="E58" s="12" t="s">
        <v>187</v>
      </c>
      <c r="F58" s="12" t="s">
        <v>57</v>
      </c>
      <c r="G58" s="18">
        <v>6.3</v>
      </c>
      <c r="H58" s="18">
        <v>6</v>
      </c>
      <c r="I58" s="18">
        <v>3.2</v>
      </c>
      <c r="J58" s="17">
        <f t="shared" ref="J58:J64" si="27">(G58*$I$2)+(H58*$I$3)</f>
        <v>15.6</v>
      </c>
      <c r="K58" s="9">
        <f t="shared" ref="K58:K64" si="28">(G58*$I$5)+(H58*$I$6)+(I58*$I$7)</f>
        <v>6.15</v>
      </c>
      <c r="L58" s="10">
        <f t="shared" ref="L58:L64" si="29">J58+K58</f>
        <v>21.75</v>
      </c>
      <c r="M58" s="11">
        <f t="shared" ref="M58:M64" si="30">I58*$M$2</f>
        <v>20</v>
      </c>
      <c r="N58" s="11">
        <f t="shared" ref="N58:N64" si="31">I58*$M$3</f>
        <v>4.8000000000000007</v>
      </c>
      <c r="O58" s="9">
        <v>4</v>
      </c>
      <c r="P58" s="9">
        <v>6</v>
      </c>
      <c r="Q58" s="9" t="s">
        <v>123</v>
      </c>
      <c r="R58" s="9" t="s">
        <v>188</v>
      </c>
      <c r="S58" s="9"/>
    </row>
    <row r="59" spans="1:21" ht="20.100000000000001" customHeight="1" x14ac:dyDescent="0.2">
      <c r="A59" s="3">
        <v>14</v>
      </c>
      <c r="B59" s="3">
        <v>15</v>
      </c>
      <c r="C59" s="5" t="s">
        <v>189</v>
      </c>
      <c r="D59" s="5" t="s">
        <v>190</v>
      </c>
      <c r="E59" s="5" t="s">
        <v>191</v>
      </c>
      <c r="F59" s="5" t="s">
        <v>57</v>
      </c>
      <c r="G59" s="5">
        <v>5.5</v>
      </c>
      <c r="H59" s="5">
        <v>1</v>
      </c>
      <c r="I59" s="5">
        <v>2.4</v>
      </c>
      <c r="J59" s="17">
        <f t="shared" si="27"/>
        <v>11.5</v>
      </c>
      <c r="K59" s="9">
        <f t="shared" si="28"/>
        <v>3.25</v>
      </c>
      <c r="L59" s="10">
        <f t="shared" si="29"/>
        <v>14.75</v>
      </c>
      <c r="M59" s="11">
        <f t="shared" si="30"/>
        <v>15</v>
      </c>
      <c r="N59" s="11">
        <f t="shared" si="31"/>
        <v>3.5999999999999996</v>
      </c>
      <c r="O59" s="9">
        <v>2</v>
      </c>
      <c r="P59" s="9">
        <v>2</v>
      </c>
      <c r="Q59" s="9" t="s">
        <v>164</v>
      </c>
      <c r="R59" s="9"/>
      <c r="S59" s="9"/>
    </row>
    <row r="60" spans="1:21" ht="20.100000000000001" customHeight="1" x14ac:dyDescent="0.2">
      <c r="C60" s="5" t="s">
        <v>192</v>
      </c>
      <c r="D60" s="5" t="s">
        <v>193</v>
      </c>
      <c r="E60" s="5" t="s">
        <v>194</v>
      </c>
      <c r="F60" s="5" t="s">
        <v>53</v>
      </c>
      <c r="G60" s="5">
        <v>3</v>
      </c>
      <c r="H60" s="5">
        <v>6</v>
      </c>
      <c r="I60" s="5">
        <v>3</v>
      </c>
      <c r="J60" s="17">
        <f t="shared" si="27"/>
        <v>9</v>
      </c>
      <c r="K60" s="9">
        <f t="shared" si="28"/>
        <v>4.5</v>
      </c>
      <c r="L60" s="10">
        <f t="shared" si="29"/>
        <v>13.5</v>
      </c>
      <c r="M60" s="11">
        <f t="shared" si="30"/>
        <v>18.75</v>
      </c>
      <c r="N60" s="11">
        <f t="shared" si="31"/>
        <v>4.5</v>
      </c>
      <c r="O60" s="9">
        <v>1</v>
      </c>
      <c r="P60" s="9">
        <v>1</v>
      </c>
      <c r="Q60" s="9" t="s">
        <v>81</v>
      </c>
      <c r="R60" s="9" t="s">
        <v>195</v>
      </c>
      <c r="S60" s="9"/>
    </row>
    <row r="61" spans="1:21" ht="20.100000000000001" customHeight="1" x14ac:dyDescent="0.2">
      <c r="A61" s="3">
        <v>24</v>
      </c>
      <c r="B61" s="3">
        <v>20</v>
      </c>
      <c r="C61" s="5" t="s">
        <v>196</v>
      </c>
      <c r="D61" s="5" t="s">
        <v>197</v>
      </c>
      <c r="E61" s="5" t="s">
        <v>198</v>
      </c>
      <c r="F61" s="5" t="s">
        <v>57</v>
      </c>
      <c r="G61" s="5">
        <v>7.5</v>
      </c>
      <c r="H61" s="5">
        <v>5.5</v>
      </c>
      <c r="I61" s="5">
        <v>3.3</v>
      </c>
      <c r="J61" s="17">
        <f t="shared" si="27"/>
        <v>17.75</v>
      </c>
      <c r="K61" s="9">
        <f t="shared" si="28"/>
        <v>6.5</v>
      </c>
      <c r="L61" s="10">
        <f t="shared" si="29"/>
        <v>24.25</v>
      </c>
      <c r="M61" s="11">
        <f t="shared" si="30"/>
        <v>20.625</v>
      </c>
      <c r="N61" s="11">
        <f t="shared" si="31"/>
        <v>4.9499999999999993</v>
      </c>
      <c r="O61" s="9">
        <v>2</v>
      </c>
      <c r="P61" s="9">
        <v>2</v>
      </c>
      <c r="Q61" s="9" t="s">
        <v>199</v>
      </c>
      <c r="R61" s="9"/>
      <c r="S61" s="9"/>
    </row>
    <row r="62" spans="1:21" ht="20.100000000000001" customHeight="1" x14ac:dyDescent="0.2">
      <c r="C62" s="25" t="s">
        <v>326</v>
      </c>
      <c r="D62" s="5" t="s">
        <v>327</v>
      </c>
      <c r="E62" s="25" t="s">
        <v>328</v>
      </c>
      <c r="F62" s="25" t="s">
        <v>329</v>
      </c>
      <c r="G62" s="5">
        <v>7</v>
      </c>
      <c r="H62" s="5">
        <v>8</v>
      </c>
      <c r="I62" s="5">
        <v>2.9</v>
      </c>
      <c r="J62" s="17">
        <f t="shared" si="27"/>
        <v>18</v>
      </c>
      <c r="K62" s="9">
        <f t="shared" si="28"/>
        <v>7.5</v>
      </c>
      <c r="L62" s="10">
        <f t="shared" si="29"/>
        <v>25.5</v>
      </c>
      <c r="M62" s="11">
        <f t="shared" si="30"/>
        <v>18.125</v>
      </c>
      <c r="N62" s="11">
        <f t="shared" si="31"/>
        <v>4.3499999999999996</v>
      </c>
      <c r="O62" s="9">
        <v>2</v>
      </c>
      <c r="P62" s="9">
        <v>4</v>
      </c>
      <c r="Q62" s="23" t="s">
        <v>330</v>
      </c>
      <c r="R62" s="23" t="s">
        <v>331</v>
      </c>
      <c r="S62" s="9"/>
      <c r="U62" s="24"/>
    </row>
    <row r="63" spans="1:21" ht="20.100000000000001" customHeight="1" x14ac:dyDescent="0.2">
      <c r="A63" s="3">
        <v>24</v>
      </c>
      <c r="B63" s="3">
        <v>20</v>
      </c>
      <c r="C63" s="12" t="s">
        <v>200</v>
      </c>
      <c r="D63" s="21" t="s">
        <v>201</v>
      </c>
      <c r="E63" s="12" t="s">
        <v>202</v>
      </c>
      <c r="F63" s="12" t="s">
        <v>57</v>
      </c>
      <c r="G63" s="12">
        <v>7</v>
      </c>
      <c r="H63" s="12">
        <v>6</v>
      </c>
      <c r="I63" s="12">
        <v>3.2</v>
      </c>
      <c r="J63" s="17">
        <f t="shared" si="27"/>
        <v>17</v>
      </c>
      <c r="K63" s="9">
        <f t="shared" si="28"/>
        <v>6.5</v>
      </c>
      <c r="L63" s="10">
        <f t="shared" si="29"/>
        <v>23.5</v>
      </c>
      <c r="M63" s="11">
        <f t="shared" si="30"/>
        <v>20</v>
      </c>
      <c r="N63" s="11">
        <f t="shared" si="31"/>
        <v>4.8000000000000007</v>
      </c>
      <c r="O63" s="9">
        <v>3</v>
      </c>
      <c r="P63" s="9">
        <v>3</v>
      </c>
      <c r="Q63" s="9" t="s">
        <v>147</v>
      </c>
      <c r="R63" s="9"/>
      <c r="S63" s="9"/>
    </row>
    <row r="64" spans="1:21" ht="20.100000000000001" customHeight="1" x14ac:dyDescent="0.2">
      <c r="A64" s="3">
        <v>29</v>
      </c>
      <c r="B64" s="3">
        <v>30</v>
      </c>
      <c r="C64" s="5" t="s">
        <v>203</v>
      </c>
      <c r="D64" s="5" t="s">
        <v>204</v>
      </c>
      <c r="E64" s="5" t="s">
        <v>205</v>
      </c>
      <c r="F64" s="5" t="s">
        <v>57</v>
      </c>
      <c r="G64" s="5">
        <v>8</v>
      </c>
      <c r="H64" s="5">
        <v>6</v>
      </c>
      <c r="I64" s="5">
        <v>3.5</v>
      </c>
      <c r="J64" s="17">
        <f t="shared" si="27"/>
        <v>19</v>
      </c>
      <c r="K64" s="9">
        <f t="shared" si="28"/>
        <v>7</v>
      </c>
      <c r="L64" s="10">
        <f t="shared" si="29"/>
        <v>26</v>
      </c>
      <c r="M64" s="11">
        <f t="shared" si="30"/>
        <v>21.875</v>
      </c>
      <c r="N64" s="11">
        <f t="shared" si="31"/>
        <v>5.25</v>
      </c>
      <c r="O64" s="9">
        <v>3</v>
      </c>
      <c r="P64" s="9">
        <v>3</v>
      </c>
      <c r="Q64" s="24" t="s">
        <v>297</v>
      </c>
      <c r="R64" s="9"/>
      <c r="S64" s="9"/>
    </row>
    <row r="65" spans="1:21" ht="20.100000000000001" customHeight="1" x14ac:dyDescent="0.2">
      <c r="C65" s="5" t="s">
        <v>203</v>
      </c>
      <c r="D65" s="5" t="s">
        <v>206</v>
      </c>
      <c r="E65" s="5" t="s">
        <v>207</v>
      </c>
      <c r="F65" s="5" t="s">
        <v>57</v>
      </c>
      <c r="G65" s="5">
        <v>9</v>
      </c>
      <c r="H65" s="5">
        <v>4</v>
      </c>
      <c r="I65" s="5">
        <v>4</v>
      </c>
      <c r="J65" s="17">
        <f t="shared" ref="J65:J71" si="32">(G65*$I$2)+(H65*$I$3)</f>
        <v>20</v>
      </c>
      <c r="K65" s="9">
        <f t="shared" ref="K65:K71" si="33">(G65*$I$5)+(H65*$I$6)+(I65*$I$7)</f>
        <v>6.5</v>
      </c>
      <c r="L65" s="10">
        <f t="shared" ref="L65:L71" si="34">J65+K65</f>
        <v>26.5</v>
      </c>
      <c r="M65" s="11">
        <f t="shared" ref="M65:M71" si="35">I65*$M$2</f>
        <v>25</v>
      </c>
      <c r="N65" s="11">
        <f t="shared" ref="N65:N71" si="36">I65*$M$3</f>
        <v>6</v>
      </c>
      <c r="O65" s="9">
        <v>4</v>
      </c>
      <c r="P65" s="9">
        <v>4</v>
      </c>
      <c r="Q65" s="23" t="s">
        <v>296</v>
      </c>
      <c r="R65" s="9"/>
      <c r="S65" s="9"/>
    </row>
    <row r="66" spans="1:21" ht="20.100000000000001" customHeight="1" x14ac:dyDescent="0.2">
      <c r="C66" s="5" t="s">
        <v>203</v>
      </c>
      <c r="D66" s="5" t="s">
        <v>208</v>
      </c>
      <c r="E66" s="5" t="s">
        <v>209</v>
      </c>
      <c r="F66" s="5" t="s">
        <v>57</v>
      </c>
      <c r="G66" s="5">
        <v>9.6</v>
      </c>
      <c r="H66" s="5">
        <v>7</v>
      </c>
      <c r="I66" s="5">
        <v>4.8</v>
      </c>
      <c r="J66" s="17">
        <f t="shared" si="32"/>
        <v>22.7</v>
      </c>
      <c r="K66" s="9">
        <f t="shared" si="33"/>
        <v>8.3000000000000007</v>
      </c>
      <c r="L66" s="10">
        <f t="shared" si="34"/>
        <v>31</v>
      </c>
      <c r="M66" s="11">
        <f t="shared" si="35"/>
        <v>30</v>
      </c>
      <c r="N66" s="11">
        <f t="shared" si="36"/>
        <v>7.1999999999999993</v>
      </c>
      <c r="O66" s="9">
        <v>5</v>
      </c>
      <c r="P66" s="9">
        <v>4</v>
      </c>
      <c r="Q66" s="9" t="s">
        <v>210</v>
      </c>
      <c r="R66" s="9"/>
      <c r="S66" s="9"/>
    </row>
    <row r="67" spans="1:21" ht="20.100000000000001" customHeight="1" x14ac:dyDescent="0.2">
      <c r="C67" s="5" t="s">
        <v>203</v>
      </c>
      <c r="D67" s="5" t="s">
        <v>211</v>
      </c>
      <c r="E67" s="5" t="s">
        <v>212</v>
      </c>
      <c r="F67" s="5" t="s">
        <v>57</v>
      </c>
      <c r="G67" s="5">
        <v>8</v>
      </c>
      <c r="H67" s="5">
        <v>12</v>
      </c>
      <c r="I67" s="5">
        <v>4</v>
      </c>
      <c r="J67" s="17">
        <f t="shared" si="32"/>
        <v>22</v>
      </c>
      <c r="K67" s="9">
        <f t="shared" si="33"/>
        <v>10</v>
      </c>
      <c r="L67" s="10">
        <f t="shared" si="34"/>
        <v>32</v>
      </c>
      <c r="M67" s="11">
        <f t="shared" si="35"/>
        <v>25</v>
      </c>
      <c r="N67" s="11">
        <f t="shared" si="36"/>
        <v>6</v>
      </c>
      <c r="O67" s="9">
        <v>5</v>
      </c>
      <c r="P67" s="9">
        <v>4</v>
      </c>
      <c r="Q67" s="9" t="s">
        <v>213</v>
      </c>
      <c r="R67" s="9"/>
      <c r="S67" s="9"/>
    </row>
    <row r="68" spans="1:21" ht="20.100000000000001" customHeight="1" x14ac:dyDescent="0.2">
      <c r="A68" s="3">
        <v>35</v>
      </c>
      <c r="B68" s="3">
        <v>40</v>
      </c>
      <c r="C68" s="12" t="s">
        <v>214</v>
      </c>
      <c r="D68" s="12" t="s">
        <v>215</v>
      </c>
      <c r="E68" s="12" t="s">
        <v>216</v>
      </c>
      <c r="F68" s="12" t="s">
        <v>57</v>
      </c>
      <c r="G68" s="12">
        <v>9</v>
      </c>
      <c r="H68" s="12">
        <v>12</v>
      </c>
      <c r="I68" s="12">
        <v>6</v>
      </c>
      <c r="J68" s="17">
        <f t="shared" si="32"/>
        <v>24</v>
      </c>
      <c r="K68" s="9">
        <f t="shared" si="33"/>
        <v>10.5</v>
      </c>
      <c r="L68" s="10">
        <f t="shared" si="34"/>
        <v>34.5</v>
      </c>
      <c r="M68" s="11">
        <f t="shared" si="35"/>
        <v>37.5</v>
      </c>
      <c r="N68" s="11">
        <f t="shared" si="36"/>
        <v>9</v>
      </c>
      <c r="O68" s="9">
        <v>4</v>
      </c>
      <c r="P68" s="9">
        <v>5</v>
      </c>
      <c r="Q68" s="9" t="s">
        <v>217</v>
      </c>
      <c r="R68" s="9"/>
      <c r="S68" s="9"/>
    </row>
    <row r="69" spans="1:21" ht="20.100000000000001" customHeight="1" x14ac:dyDescent="0.2">
      <c r="C69" s="12" t="s">
        <v>214</v>
      </c>
      <c r="D69" s="12" t="s">
        <v>218</v>
      </c>
      <c r="E69" s="12" t="s">
        <v>219</v>
      </c>
      <c r="F69" s="12" t="s">
        <v>57</v>
      </c>
      <c r="G69" s="12">
        <v>12</v>
      </c>
      <c r="H69" s="12">
        <v>5</v>
      </c>
      <c r="I69" s="12">
        <v>6.5</v>
      </c>
      <c r="J69" s="17">
        <f t="shared" si="32"/>
        <v>26.5</v>
      </c>
      <c r="K69" s="9">
        <f t="shared" si="33"/>
        <v>8.5</v>
      </c>
      <c r="L69" s="10">
        <f t="shared" si="34"/>
        <v>35</v>
      </c>
      <c r="M69" s="11">
        <f t="shared" si="35"/>
        <v>40.625</v>
      </c>
      <c r="N69" s="11">
        <f t="shared" si="36"/>
        <v>9.75</v>
      </c>
      <c r="O69" s="9">
        <v>4</v>
      </c>
      <c r="P69" s="9">
        <v>5</v>
      </c>
      <c r="Q69" s="9" t="s">
        <v>184</v>
      </c>
      <c r="R69" s="9" t="s">
        <v>177</v>
      </c>
      <c r="S69" s="9" t="s">
        <v>220</v>
      </c>
    </row>
    <row r="70" spans="1:21" ht="20.100000000000001" customHeight="1" x14ac:dyDescent="0.2">
      <c r="C70" s="12" t="s">
        <v>214</v>
      </c>
      <c r="D70" s="12" t="s">
        <v>221</v>
      </c>
      <c r="E70" s="12" t="s">
        <v>222</v>
      </c>
      <c r="F70" s="12" t="s">
        <v>57</v>
      </c>
      <c r="G70" s="12">
        <v>10</v>
      </c>
      <c r="H70" s="12">
        <v>5</v>
      </c>
      <c r="I70" s="12">
        <v>6</v>
      </c>
      <c r="J70" s="17">
        <f t="shared" si="32"/>
        <v>22.5</v>
      </c>
      <c r="K70" s="9">
        <f t="shared" si="33"/>
        <v>7.5</v>
      </c>
      <c r="L70" s="10">
        <f t="shared" si="34"/>
        <v>30</v>
      </c>
      <c r="M70" s="11">
        <f t="shared" si="35"/>
        <v>37.5</v>
      </c>
      <c r="N70" s="11">
        <f t="shared" si="36"/>
        <v>9</v>
      </c>
      <c r="O70" s="9">
        <v>4</v>
      </c>
      <c r="P70" s="9">
        <v>4</v>
      </c>
      <c r="Q70" s="23" t="s">
        <v>298</v>
      </c>
      <c r="R70" s="9"/>
      <c r="S70" s="9"/>
    </row>
    <row r="71" spans="1:21" ht="20.100000000000001" customHeight="1" x14ac:dyDescent="0.2">
      <c r="C71" s="12" t="s">
        <v>214</v>
      </c>
      <c r="D71" s="12" t="s">
        <v>223</v>
      </c>
      <c r="E71" s="12" t="s">
        <v>224</v>
      </c>
      <c r="F71" s="12" t="s">
        <v>57</v>
      </c>
      <c r="G71" s="12">
        <v>18</v>
      </c>
      <c r="H71" s="12">
        <v>8</v>
      </c>
      <c r="I71" s="12">
        <v>8</v>
      </c>
      <c r="J71" s="17">
        <f t="shared" si="32"/>
        <v>40</v>
      </c>
      <c r="K71" s="9">
        <f t="shared" si="33"/>
        <v>13</v>
      </c>
      <c r="L71" s="10">
        <f t="shared" si="34"/>
        <v>53</v>
      </c>
      <c r="M71" s="11">
        <f t="shared" si="35"/>
        <v>50</v>
      </c>
      <c r="N71" s="11">
        <f t="shared" si="36"/>
        <v>12</v>
      </c>
      <c r="O71" s="9">
        <v>4</v>
      </c>
      <c r="P71" s="9">
        <v>6</v>
      </c>
      <c r="Q71" s="23" t="s">
        <v>293</v>
      </c>
      <c r="R71" s="23" t="s">
        <v>299</v>
      </c>
      <c r="S71" s="23" t="s">
        <v>300</v>
      </c>
    </row>
    <row r="72" spans="1:21" ht="20.100000000000001" customHeight="1" x14ac:dyDescent="0.2">
      <c r="A72" s="3">
        <v>40</v>
      </c>
      <c r="B72" s="3">
        <v>45</v>
      </c>
      <c r="C72" s="5" t="s">
        <v>225</v>
      </c>
      <c r="D72" s="5" t="s">
        <v>226</v>
      </c>
      <c r="E72" s="5" t="s">
        <v>227</v>
      </c>
      <c r="F72" s="5" t="s">
        <v>57</v>
      </c>
      <c r="G72" s="5">
        <v>14</v>
      </c>
      <c r="H72" s="5">
        <v>6</v>
      </c>
      <c r="I72" s="5">
        <v>7</v>
      </c>
      <c r="J72" s="17">
        <f t="shared" ref="J72:J80" si="37">(G72*$I$2)+(H72*$I$3)</f>
        <v>31</v>
      </c>
      <c r="K72" s="9">
        <f t="shared" ref="K72:K80" si="38">(G72*$I$5)+(H72*$I$6)+(I72*$I$7)</f>
        <v>10</v>
      </c>
      <c r="L72" s="10">
        <f t="shared" ref="L72:L80" si="39">J72+K72</f>
        <v>41</v>
      </c>
      <c r="M72" s="11">
        <f t="shared" ref="M72:M80" si="40">I72*$M$2</f>
        <v>43.75</v>
      </c>
      <c r="N72" s="11">
        <f t="shared" ref="N72:N80" si="41">I72*$M$3</f>
        <v>10.5</v>
      </c>
      <c r="O72" s="9">
        <v>6</v>
      </c>
      <c r="P72" s="9">
        <v>5</v>
      </c>
      <c r="Q72" s="9" t="s">
        <v>160</v>
      </c>
      <c r="R72" s="9" t="s">
        <v>151</v>
      </c>
      <c r="S72" s="9"/>
    </row>
    <row r="73" spans="1:21" ht="20.100000000000001" customHeight="1" x14ac:dyDescent="0.2">
      <c r="C73" s="5" t="s">
        <v>225</v>
      </c>
      <c r="D73" s="5" t="s">
        <v>228</v>
      </c>
      <c r="E73" s="5" t="s">
        <v>229</v>
      </c>
      <c r="F73" s="5" t="s">
        <v>57</v>
      </c>
      <c r="G73" s="5">
        <v>17</v>
      </c>
      <c r="H73" s="5">
        <v>2</v>
      </c>
      <c r="I73" s="5">
        <v>7</v>
      </c>
      <c r="J73" s="17">
        <f t="shared" si="37"/>
        <v>35</v>
      </c>
      <c r="K73" s="9">
        <f t="shared" si="38"/>
        <v>9.5</v>
      </c>
      <c r="L73" s="10">
        <f t="shared" si="39"/>
        <v>44.5</v>
      </c>
      <c r="M73" s="11">
        <f t="shared" si="40"/>
        <v>43.75</v>
      </c>
      <c r="N73" s="11">
        <f t="shared" si="41"/>
        <v>10.5</v>
      </c>
      <c r="O73" s="9">
        <v>6</v>
      </c>
      <c r="P73" s="9">
        <v>6</v>
      </c>
      <c r="Q73" s="9" t="s">
        <v>230</v>
      </c>
      <c r="R73" s="9" t="s">
        <v>217</v>
      </c>
      <c r="S73" s="9"/>
    </row>
    <row r="74" spans="1:21" ht="20.100000000000001" customHeight="1" x14ac:dyDescent="0.2">
      <c r="C74" s="5" t="s">
        <v>225</v>
      </c>
      <c r="D74" s="5" t="s">
        <v>358</v>
      </c>
      <c r="E74" s="25" t="s">
        <v>359</v>
      </c>
      <c r="F74" s="5" t="s">
        <v>57</v>
      </c>
      <c r="G74" s="5">
        <v>14</v>
      </c>
      <c r="H74" s="5">
        <v>5</v>
      </c>
      <c r="I74" s="5">
        <v>7.5</v>
      </c>
      <c r="J74" s="17">
        <f t="shared" ref="J74" si="42">(G74*$I$2)+(H74*$I$3)</f>
        <v>30.5</v>
      </c>
      <c r="K74" s="9">
        <f t="shared" ref="K74" si="43">(G74*$I$5)+(H74*$I$6)+(I74*$I$7)</f>
        <v>9.5</v>
      </c>
      <c r="L74" s="10">
        <f t="shared" ref="L74" si="44">J74+K74</f>
        <v>40</v>
      </c>
      <c r="M74" s="11">
        <f t="shared" ref="M74" si="45">I74*$M$2</f>
        <v>46.875</v>
      </c>
      <c r="N74" s="11">
        <f t="shared" ref="N74" si="46">I74*$M$3</f>
        <v>11.25</v>
      </c>
      <c r="O74" s="9">
        <v>6</v>
      </c>
      <c r="P74" s="9">
        <v>6</v>
      </c>
      <c r="Q74" s="23" t="s">
        <v>360</v>
      </c>
      <c r="R74" s="23" t="s">
        <v>361</v>
      </c>
      <c r="S74" s="23" t="s">
        <v>365</v>
      </c>
      <c r="U74" s="24"/>
    </row>
    <row r="75" spans="1:21" ht="20.100000000000001" customHeight="1" x14ac:dyDescent="0.2">
      <c r="A75" s="3">
        <v>45</v>
      </c>
      <c r="B75" s="3">
        <v>50</v>
      </c>
      <c r="C75" s="12" t="s">
        <v>231</v>
      </c>
      <c r="D75" s="12" t="s">
        <v>232</v>
      </c>
      <c r="E75" s="12" t="s">
        <v>233</v>
      </c>
      <c r="F75" s="12" t="s">
        <v>57</v>
      </c>
      <c r="G75" s="12">
        <v>15.5</v>
      </c>
      <c r="H75" s="12">
        <v>6</v>
      </c>
      <c r="I75" s="12">
        <v>8</v>
      </c>
      <c r="J75" s="17">
        <f t="shared" si="37"/>
        <v>34</v>
      </c>
      <c r="K75" s="9">
        <f t="shared" si="38"/>
        <v>10.75</v>
      </c>
      <c r="L75" s="10">
        <f t="shared" si="39"/>
        <v>44.75</v>
      </c>
      <c r="M75" s="11">
        <f t="shared" si="40"/>
        <v>50</v>
      </c>
      <c r="N75" s="11">
        <f t="shared" si="41"/>
        <v>12</v>
      </c>
      <c r="O75" s="9">
        <v>6</v>
      </c>
      <c r="P75" s="9">
        <v>6</v>
      </c>
      <c r="Q75" s="9" t="s">
        <v>234</v>
      </c>
      <c r="R75" s="9" t="s">
        <v>199</v>
      </c>
      <c r="S75" s="9"/>
    </row>
    <row r="76" spans="1:21" ht="20.100000000000001" customHeight="1" x14ac:dyDescent="0.2">
      <c r="C76" s="12" t="s">
        <v>231</v>
      </c>
      <c r="D76" s="12" t="s">
        <v>235</v>
      </c>
      <c r="E76" s="12" t="s">
        <v>236</v>
      </c>
      <c r="F76" s="12" t="s">
        <v>57</v>
      </c>
      <c r="G76" s="12">
        <v>13</v>
      </c>
      <c r="H76" s="12">
        <v>5</v>
      </c>
      <c r="I76" s="12">
        <v>7</v>
      </c>
      <c r="J76" s="17">
        <f t="shared" si="37"/>
        <v>28.5</v>
      </c>
      <c r="K76" s="9">
        <f t="shared" si="38"/>
        <v>9</v>
      </c>
      <c r="L76" s="10">
        <f t="shared" si="39"/>
        <v>37.5</v>
      </c>
      <c r="M76" s="11">
        <f t="shared" si="40"/>
        <v>43.75</v>
      </c>
      <c r="N76" s="11">
        <f t="shared" si="41"/>
        <v>10.5</v>
      </c>
      <c r="O76" s="9">
        <v>5</v>
      </c>
      <c r="P76" s="9">
        <v>5</v>
      </c>
      <c r="Q76" s="23" t="s">
        <v>301</v>
      </c>
      <c r="R76" s="23" t="s">
        <v>302</v>
      </c>
      <c r="S76" s="9"/>
    </row>
    <row r="77" spans="1:21" ht="20.100000000000001" customHeight="1" x14ac:dyDescent="0.2">
      <c r="A77" s="3">
        <v>40</v>
      </c>
      <c r="B77" s="3">
        <v>45</v>
      </c>
      <c r="C77" s="5" t="s">
        <v>237</v>
      </c>
      <c r="D77" s="5" t="s">
        <v>238</v>
      </c>
      <c r="E77" s="5" t="s">
        <v>239</v>
      </c>
      <c r="F77" s="5" t="s">
        <v>57</v>
      </c>
      <c r="G77" s="5">
        <v>14</v>
      </c>
      <c r="H77" s="5">
        <v>5</v>
      </c>
      <c r="I77" s="5">
        <v>7.5</v>
      </c>
      <c r="J77" s="17">
        <f t="shared" si="37"/>
        <v>30.5</v>
      </c>
      <c r="K77" s="9">
        <f t="shared" si="38"/>
        <v>9.5</v>
      </c>
      <c r="L77" s="10">
        <f t="shared" si="39"/>
        <v>40</v>
      </c>
      <c r="M77" s="11">
        <f t="shared" si="40"/>
        <v>46.875</v>
      </c>
      <c r="N77" s="11">
        <f t="shared" si="41"/>
        <v>11.25</v>
      </c>
      <c r="O77" s="9">
        <v>6</v>
      </c>
      <c r="P77" s="9">
        <v>7</v>
      </c>
      <c r="Q77" s="23" t="s">
        <v>304</v>
      </c>
      <c r="R77" s="23" t="s">
        <v>305</v>
      </c>
      <c r="S77" s="9"/>
    </row>
    <row r="78" spans="1:21" ht="20.100000000000001" customHeight="1" x14ac:dyDescent="0.2">
      <c r="C78" s="5" t="s">
        <v>237</v>
      </c>
      <c r="D78" s="5" t="s">
        <v>346</v>
      </c>
      <c r="E78" s="25" t="s">
        <v>347</v>
      </c>
      <c r="F78" s="5" t="s">
        <v>57</v>
      </c>
      <c r="G78" s="5">
        <v>13</v>
      </c>
      <c r="H78" s="5">
        <v>7</v>
      </c>
      <c r="I78" s="5">
        <v>8</v>
      </c>
      <c r="J78" s="17">
        <f t="shared" ref="J78:J79" si="47">(G78*$I$2)+(H78*$I$3)</f>
        <v>29.5</v>
      </c>
      <c r="K78" s="9">
        <f t="shared" ref="K78:K79" si="48">(G78*$I$5)+(H78*$I$6)+(I78*$I$7)</f>
        <v>10</v>
      </c>
      <c r="L78" s="10">
        <f t="shared" ref="L78:L79" si="49">J78+K78</f>
        <v>39.5</v>
      </c>
      <c r="M78" s="11">
        <f t="shared" ref="M78:M79" si="50">I78*$M$2</f>
        <v>50</v>
      </c>
      <c r="N78" s="11">
        <f t="shared" ref="N78:N79" si="51">I78*$M$3</f>
        <v>12</v>
      </c>
      <c r="O78" s="9">
        <v>3</v>
      </c>
      <c r="P78" s="9">
        <v>5</v>
      </c>
      <c r="Q78" s="9" t="s">
        <v>210</v>
      </c>
      <c r="R78" s="23"/>
      <c r="S78" s="9"/>
      <c r="U78" s="24"/>
    </row>
    <row r="79" spans="1:21" ht="20.100000000000001" customHeight="1" x14ac:dyDescent="0.2">
      <c r="C79" s="5" t="s">
        <v>237</v>
      </c>
      <c r="D79" s="5" t="s">
        <v>348</v>
      </c>
      <c r="E79" s="25" t="s">
        <v>349</v>
      </c>
      <c r="F79" s="25" t="s">
        <v>354</v>
      </c>
      <c r="G79" s="5">
        <v>9</v>
      </c>
      <c r="H79" s="5">
        <v>18</v>
      </c>
      <c r="I79" s="5">
        <v>9</v>
      </c>
      <c r="J79" s="17">
        <f t="shared" si="47"/>
        <v>27</v>
      </c>
      <c r="K79" s="9">
        <f t="shared" si="48"/>
        <v>13.5</v>
      </c>
      <c r="L79" s="10">
        <f t="shared" si="49"/>
        <v>40.5</v>
      </c>
      <c r="M79" s="11">
        <f t="shared" si="50"/>
        <v>56.25</v>
      </c>
      <c r="N79" s="11">
        <f t="shared" si="51"/>
        <v>13.5</v>
      </c>
      <c r="O79" s="9">
        <v>3</v>
      </c>
      <c r="P79" s="9">
        <v>5</v>
      </c>
      <c r="Q79" s="23" t="s">
        <v>355</v>
      </c>
      <c r="R79" s="23"/>
      <c r="S79" s="9"/>
      <c r="U79" s="24"/>
    </row>
    <row r="80" spans="1:21" ht="20.100000000000001" customHeight="1" x14ac:dyDescent="0.2">
      <c r="A80" s="3">
        <v>50</v>
      </c>
      <c r="B80" s="3">
        <v>60</v>
      </c>
      <c r="C80" s="12" t="s">
        <v>240</v>
      </c>
      <c r="D80" s="12" t="s">
        <v>241</v>
      </c>
      <c r="E80" s="12" t="s">
        <v>242</v>
      </c>
      <c r="F80" s="12" t="s">
        <v>57</v>
      </c>
      <c r="G80" s="12">
        <v>15</v>
      </c>
      <c r="H80" s="12">
        <v>7</v>
      </c>
      <c r="I80" s="12">
        <v>9.5</v>
      </c>
      <c r="J80" s="17">
        <f t="shared" si="37"/>
        <v>33.5</v>
      </c>
      <c r="K80" s="9">
        <f t="shared" si="38"/>
        <v>11</v>
      </c>
      <c r="L80" s="10">
        <f t="shared" si="39"/>
        <v>44.5</v>
      </c>
      <c r="M80" s="11">
        <f t="shared" si="40"/>
        <v>59.375</v>
      </c>
      <c r="N80" s="11">
        <f t="shared" si="41"/>
        <v>14.25</v>
      </c>
      <c r="O80" s="9">
        <v>7</v>
      </c>
      <c r="P80" s="9">
        <v>7</v>
      </c>
      <c r="Q80" s="9" t="s">
        <v>243</v>
      </c>
      <c r="R80" s="9"/>
      <c r="S80" s="9"/>
    </row>
    <row r="81" spans="1:21" ht="20.100000000000001" customHeight="1" x14ac:dyDescent="0.2">
      <c r="C81" s="12" t="s">
        <v>240</v>
      </c>
      <c r="D81" s="12" t="s">
        <v>241</v>
      </c>
      <c r="E81" s="12" t="s">
        <v>244</v>
      </c>
      <c r="F81" s="12" t="s">
        <v>57</v>
      </c>
      <c r="G81" s="12">
        <v>16</v>
      </c>
      <c r="H81" s="12">
        <v>10</v>
      </c>
      <c r="I81" s="12">
        <v>9.8000000000000007</v>
      </c>
      <c r="J81" s="17">
        <f t="shared" ref="J81:J94" si="52">(G81*$I$2)+(H81*$I$3)</f>
        <v>37</v>
      </c>
      <c r="K81" s="9">
        <f t="shared" ref="K81:K94" si="53">(G81*$I$5)+(H81*$I$6)+(I81*$I$7)</f>
        <v>13</v>
      </c>
      <c r="L81" s="10">
        <f t="shared" ref="L81:L94" si="54">J81+K81</f>
        <v>50</v>
      </c>
      <c r="M81" s="11">
        <f t="shared" ref="M81:M94" si="55">I81*$M$2</f>
        <v>61.250000000000007</v>
      </c>
      <c r="N81" s="11">
        <f t="shared" ref="N81:N94" si="56">I81*$M$3</f>
        <v>14.700000000000001</v>
      </c>
      <c r="O81" s="9">
        <v>7</v>
      </c>
      <c r="P81" s="9">
        <v>7</v>
      </c>
      <c r="Q81" s="23" t="s">
        <v>317</v>
      </c>
      <c r="R81" s="23" t="s">
        <v>300</v>
      </c>
      <c r="S81" s="9"/>
    </row>
    <row r="82" spans="1:21" ht="20.100000000000001" customHeight="1" x14ac:dyDescent="0.2">
      <c r="C82" s="12" t="s">
        <v>240</v>
      </c>
      <c r="D82" s="12" t="s">
        <v>350</v>
      </c>
      <c r="E82" s="26" t="s">
        <v>351</v>
      </c>
      <c r="F82" s="12" t="s">
        <v>57</v>
      </c>
      <c r="G82" s="12">
        <v>21</v>
      </c>
      <c r="H82" s="12">
        <v>0</v>
      </c>
      <c r="I82" s="12">
        <v>10</v>
      </c>
      <c r="J82" s="17">
        <f t="shared" si="52"/>
        <v>42</v>
      </c>
      <c r="K82" s="9">
        <f t="shared" si="53"/>
        <v>10.5</v>
      </c>
      <c r="L82" s="10">
        <f t="shared" si="54"/>
        <v>52.5</v>
      </c>
      <c r="M82" s="11">
        <f t="shared" si="55"/>
        <v>62.5</v>
      </c>
      <c r="N82" s="11">
        <f t="shared" si="56"/>
        <v>15</v>
      </c>
      <c r="O82" s="9">
        <v>3</v>
      </c>
      <c r="P82" s="9">
        <v>6</v>
      </c>
      <c r="Q82" s="23" t="s">
        <v>356</v>
      </c>
      <c r="R82" s="23"/>
      <c r="S82" s="9"/>
      <c r="U82" s="24"/>
    </row>
    <row r="83" spans="1:21" ht="20.100000000000001" customHeight="1" x14ac:dyDescent="0.2">
      <c r="A83" s="3">
        <v>60</v>
      </c>
      <c r="B83" s="3">
        <v>65</v>
      </c>
      <c r="C83" s="5" t="s">
        <v>245</v>
      </c>
      <c r="D83" s="5" t="s">
        <v>246</v>
      </c>
      <c r="E83" s="5" t="s">
        <v>247</v>
      </c>
      <c r="F83" s="5" t="s">
        <v>57</v>
      </c>
      <c r="G83" s="5">
        <v>20</v>
      </c>
      <c r="H83" s="5">
        <v>10</v>
      </c>
      <c r="I83" s="5">
        <v>10</v>
      </c>
      <c r="J83" s="17">
        <f t="shared" si="52"/>
        <v>45</v>
      </c>
      <c r="K83" s="9">
        <f t="shared" si="53"/>
        <v>15</v>
      </c>
      <c r="L83" s="10">
        <f t="shared" si="54"/>
        <v>60</v>
      </c>
      <c r="M83" s="11">
        <f t="shared" si="55"/>
        <v>62.5</v>
      </c>
      <c r="N83" s="11">
        <f t="shared" si="56"/>
        <v>15</v>
      </c>
      <c r="O83" s="9">
        <v>8</v>
      </c>
      <c r="P83" s="9">
        <v>8</v>
      </c>
      <c r="Q83" s="9" t="s">
        <v>248</v>
      </c>
      <c r="R83" s="9" t="s">
        <v>249</v>
      </c>
      <c r="S83" s="9"/>
    </row>
    <row r="84" spans="1:21" ht="20.100000000000001" customHeight="1" x14ac:dyDescent="0.2">
      <c r="C84" s="5" t="s">
        <v>245</v>
      </c>
      <c r="D84" s="5" t="s">
        <v>250</v>
      </c>
      <c r="E84" s="5" t="s">
        <v>251</v>
      </c>
      <c r="F84" s="5" t="s">
        <v>57</v>
      </c>
      <c r="G84" s="5">
        <v>23</v>
      </c>
      <c r="H84" s="5">
        <v>8</v>
      </c>
      <c r="I84" s="5">
        <v>11</v>
      </c>
      <c r="J84" s="17">
        <f t="shared" si="52"/>
        <v>50</v>
      </c>
      <c r="K84" s="9">
        <f t="shared" si="53"/>
        <v>15.5</v>
      </c>
      <c r="L84" s="10">
        <f t="shared" si="54"/>
        <v>65.5</v>
      </c>
      <c r="M84" s="11">
        <f t="shared" si="55"/>
        <v>68.75</v>
      </c>
      <c r="N84" s="11">
        <f t="shared" si="56"/>
        <v>16.5</v>
      </c>
      <c r="O84" s="9">
        <v>8</v>
      </c>
      <c r="P84" s="9">
        <v>8</v>
      </c>
      <c r="Q84" s="23" t="s">
        <v>306</v>
      </c>
      <c r="R84" s="9" t="s">
        <v>108</v>
      </c>
      <c r="S84" s="9"/>
    </row>
    <row r="85" spans="1:21" ht="20.100000000000001" customHeight="1" x14ac:dyDescent="0.2">
      <c r="C85" s="5" t="s">
        <v>245</v>
      </c>
      <c r="D85" s="5" t="s">
        <v>252</v>
      </c>
      <c r="E85" s="5" t="s">
        <v>253</v>
      </c>
      <c r="F85" s="5" t="s">
        <v>57</v>
      </c>
      <c r="G85" s="5">
        <v>17</v>
      </c>
      <c r="H85" s="5">
        <v>18</v>
      </c>
      <c r="I85" s="5">
        <v>10</v>
      </c>
      <c r="J85" s="17">
        <f t="shared" si="52"/>
        <v>43</v>
      </c>
      <c r="K85" s="9">
        <f t="shared" si="53"/>
        <v>17.5</v>
      </c>
      <c r="L85" s="10">
        <f t="shared" si="54"/>
        <v>60.5</v>
      </c>
      <c r="M85" s="11">
        <f t="shared" si="55"/>
        <v>62.5</v>
      </c>
      <c r="N85" s="11">
        <f t="shared" si="56"/>
        <v>15</v>
      </c>
      <c r="O85" s="9">
        <v>8</v>
      </c>
      <c r="P85" s="9">
        <v>8</v>
      </c>
      <c r="Q85" s="23" t="s">
        <v>308</v>
      </c>
      <c r="R85" s="23" t="s">
        <v>307</v>
      </c>
      <c r="S85" s="9"/>
    </row>
    <row r="86" spans="1:21" ht="20.100000000000001" customHeight="1" x14ac:dyDescent="0.2">
      <c r="C86" s="25" t="s">
        <v>332</v>
      </c>
      <c r="D86" s="5" t="s">
        <v>333</v>
      </c>
      <c r="E86" s="25" t="s">
        <v>334</v>
      </c>
      <c r="F86" s="25" t="s">
        <v>329</v>
      </c>
      <c r="G86" s="5">
        <v>15</v>
      </c>
      <c r="H86" s="5">
        <v>20</v>
      </c>
      <c r="I86" s="5">
        <v>9</v>
      </c>
      <c r="J86" s="17">
        <f t="shared" si="52"/>
        <v>40</v>
      </c>
      <c r="K86" s="9">
        <f t="shared" si="53"/>
        <v>17.5</v>
      </c>
      <c r="L86" s="10">
        <f t="shared" si="54"/>
        <v>57.5</v>
      </c>
      <c r="M86" s="11">
        <f t="shared" si="55"/>
        <v>56.25</v>
      </c>
      <c r="N86" s="11">
        <f t="shared" si="56"/>
        <v>13.5</v>
      </c>
      <c r="O86" s="9">
        <v>6</v>
      </c>
      <c r="P86" s="9">
        <v>8</v>
      </c>
      <c r="Q86" s="23" t="s">
        <v>339</v>
      </c>
      <c r="R86" s="23" t="s">
        <v>342</v>
      </c>
      <c r="S86" s="9"/>
      <c r="U86" s="24"/>
    </row>
    <row r="87" spans="1:21" ht="20.100000000000001" customHeight="1" x14ac:dyDescent="0.2">
      <c r="C87" s="25" t="s">
        <v>332</v>
      </c>
      <c r="D87" s="5" t="s">
        <v>352</v>
      </c>
      <c r="E87" s="25" t="s">
        <v>353</v>
      </c>
      <c r="F87" s="5" t="s">
        <v>57</v>
      </c>
      <c r="G87" s="5">
        <v>10</v>
      </c>
      <c r="H87" s="5">
        <v>1</v>
      </c>
      <c r="I87" s="5">
        <v>10</v>
      </c>
      <c r="J87" s="17">
        <f t="shared" si="52"/>
        <v>20.5</v>
      </c>
      <c r="K87" s="9">
        <f t="shared" si="53"/>
        <v>5.5</v>
      </c>
      <c r="L87" s="10">
        <f t="shared" si="54"/>
        <v>26</v>
      </c>
      <c r="M87" s="11">
        <f t="shared" si="55"/>
        <v>62.5</v>
      </c>
      <c r="N87" s="11">
        <f t="shared" si="56"/>
        <v>15</v>
      </c>
      <c r="O87" s="9">
        <v>4</v>
      </c>
      <c r="P87" s="9">
        <v>6</v>
      </c>
      <c r="Q87" s="23" t="s">
        <v>357</v>
      </c>
      <c r="R87" s="23"/>
      <c r="S87" s="9"/>
      <c r="U87" s="24"/>
    </row>
    <row r="88" spans="1:21" ht="20.100000000000001" customHeight="1" x14ac:dyDescent="0.2">
      <c r="A88" s="3">
        <v>70</v>
      </c>
      <c r="B88" s="3">
        <v>70</v>
      </c>
      <c r="C88" s="12" t="s">
        <v>254</v>
      </c>
      <c r="D88" s="12" t="s">
        <v>255</v>
      </c>
      <c r="E88" s="12" t="s">
        <v>256</v>
      </c>
      <c r="F88" s="12" t="s">
        <v>57</v>
      </c>
      <c r="G88" s="12">
        <v>25</v>
      </c>
      <c r="H88" s="12">
        <v>8</v>
      </c>
      <c r="I88" s="12">
        <v>11.6</v>
      </c>
      <c r="J88" s="17">
        <f t="shared" si="52"/>
        <v>54</v>
      </c>
      <c r="K88" s="9">
        <f t="shared" si="53"/>
        <v>16.5</v>
      </c>
      <c r="L88" s="10">
        <f t="shared" si="54"/>
        <v>70.5</v>
      </c>
      <c r="M88" s="11">
        <f t="shared" si="55"/>
        <v>72.5</v>
      </c>
      <c r="N88" s="11">
        <f t="shared" si="56"/>
        <v>17.399999999999999</v>
      </c>
      <c r="O88" s="9">
        <v>7</v>
      </c>
      <c r="P88" s="9">
        <v>9</v>
      </c>
      <c r="Q88" s="23" t="s">
        <v>309</v>
      </c>
      <c r="R88" s="23" t="s">
        <v>310</v>
      </c>
      <c r="S88" s="9" t="s">
        <v>220</v>
      </c>
    </row>
    <row r="89" spans="1:21" ht="20.100000000000001" customHeight="1" x14ac:dyDescent="0.2">
      <c r="C89" s="12" t="s">
        <v>254</v>
      </c>
      <c r="D89" s="12" t="s">
        <v>257</v>
      </c>
      <c r="E89" s="12" t="s">
        <v>258</v>
      </c>
      <c r="F89" s="12" t="s">
        <v>57</v>
      </c>
      <c r="G89" s="12">
        <v>20</v>
      </c>
      <c r="H89" s="12">
        <v>23</v>
      </c>
      <c r="I89" s="12">
        <v>11</v>
      </c>
      <c r="J89" s="17">
        <f t="shared" si="52"/>
        <v>51.5</v>
      </c>
      <c r="K89" s="9">
        <f t="shared" si="53"/>
        <v>21.5</v>
      </c>
      <c r="L89" s="10">
        <f t="shared" si="54"/>
        <v>73</v>
      </c>
      <c r="M89" s="11">
        <f t="shared" si="55"/>
        <v>68.75</v>
      </c>
      <c r="N89" s="11">
        <f t="shared" si="56"/>
        <v>16.5</v>
      </c>
      <c r="O89" s="9">
        <v>6</v>
      </c>
      <c r="P89" s="9">
        <v>6</v>
      </c>
      <c r="Q89" s="23" t="s">
        <v>311</v>
      </c>
      <c r="R89" s="23" t="s">
        <v>313</v>
      </c>
      <c r="S89" s="23" t="s">
        <v>312</v>
      </c>
    </row>
    <row r="90" spans="1:21" ht="20.100000000000001" customHeight="1" x14ac:dyDescent="0.2">
      <c r="C90" s="26" t="s">
        <v>335</v>
      </c>
      <c r="D90" s="12" t="s">
        <v>343</v>
      </c>
      <c r="E90" s="26" t="s">
        <v>344</v>
      </c>
      <c r="F90" s="26" t="s">
        <v>329</v>
      </c>
      <c r="G90" s="12">
        <v>14</v>
      </c>
      <c r="H90" s="12">
        <v>37</v>
      </c>
      <c r="I90" s="12">
        <v>11</v>
      </c>
      <c r="J90" s="17">
        <f t="shared" ref="J90" si="57">(G90*$I$2)+(H90*$I$3)</f>
        <v>46.5</v>
      </c>
      <c r="K90" s="9">
        <f t="shared" ref="K90" si="58">(G90*$I$5)+(H90*$I$6)+(I90*$I$7)</f>
        <v>25.5</v>
      </c>
      <c r="L90" s="10">
        <f t="shared" ref="L90" si="59">J90+K90</f>
        <v>72</v>
      </c>
      <c r="M90" s="11">
        <f t="shared" ref="M90" si="60">I90*$M$2</f>
        <v>68.75</v>
      </c>
      <c r="N90" s="11">
        <f t="shared" ref="N90" si="61">I90*$M$3</f>
        <v>16.5</v>
      </c>
      <c r="O90" s="9">
        <v>4</v>
      </c>
      <c r="P90" s="9">
        <v>4</v>
      </c>
      <c r="Q90" s="23" t="s">
        <v>345</v>
      </c>
      <c r="R90" s="23"/>
      <c r="S90" s="23"/>
      <c r="U90" s="24"/>
    </row>
    <row r="91" spans="1:21" ht="20.100000000000001" customHeight="1" x14ac:dyDescent="0.2">
      <c r="C91" s="26" t="s">
        <v>335</v>
      </c>
      <c r="D91" s="12" t="s">
        <v>336</v>
      </c>
      <c r="E91" s="26" t="s">
        <v>337</v>
      </c>
      <c r="F91" s="26" t="s">
        <v>329</v>
      </c>
      <c r="G91" s="12">
        <v>21</v>
      </c>
      <c r="H91" s="12">
        <v>20</v>
      </c>
      <c r="I91" s="12">
        <v>10</v>
      </c>
      <c r="J91" s="17">
        <f t="shared" si="52"/>
        <v>52</v>
      </c>
      <c r="K91" s="9">
        <f t="shared" si="53"/>
        <v>20.5</v>
      </c>
      <c r="L91" s="10">
        <f t="shared" si="54"/>
        <v>72.5</v>
      </c>
      <c r="M91" s="11">
        <f t="shared" si="55"/>
        <v>62.5</v>
      </c>
      <c r="N91" s="11">
        <f t="shared" si="56"/>
        <v>15</v>
      </c>
      <c r="O91" s="9">
        <v>6</v>
      </c>
      <c r="P91" s="9">
        <v>8</v>
      </c>
      <c r="Q91" s="23" t="s">
        <v>338</v>
      </c>
      <c r="R91" s="23" t="s">
        <v>340</v>
      </c>
      <c r="S91" s="23"/>
      <c r="U91" s="24"/>
    </row>
    <row r="92" spans="1:21" ht="20.100000000000001" customHeight="1" x14ac:dyDescent="0.2">
      <c r="A92" s="3">
        <v>80</v>
      </c>
      <c r="B92" s="3">
        <v>75</v>
      </c>
      <c r="C92" s="5" t="s">
        <v>259</v>
      </c>
      <c r="D92" s="22" t="s">
        <v>260</v>
      </c>
      <c r="E92" s="5" t="s">
        <v>261</v>
      </c>
      <c r="F92" s="5" t="s">
        <v>57</v>
      </c>
      <c r="G92" s="5">
        <v>27</v>
      </c>
      <c r="H92" s="5">
        <v>14</v>
      </c>
      <c r="I92" s="5">
        <v>12</v>
      </c>
      <c r="J92" s="17">
        <f t="shared" si="52"/>
        <v>61</v>
      </c>
      <c r="K92" s="9">
        <f t="shared" si="53"/>
        <v>20.5</v>
      </c>
      <c r="L92" s="10">
        <f t="shared" si="54"/>
        <v>81.5</v>
      </c>
      <c r="M92" s="11">
        <f t="shared" si="55"/>
        <v>75</v>
      </c>
      <c r="N92" s="11">
        <f t="shared" si="56"/>
        <v>18</v>
      </c>
      <c r="O92" s="9">
        <v>8</v>
      </c>
      <c r="P92" s="9">
        <v>9</v>
      </c>
      <c r="Q92" s="9" t="s">
        <v>262</v>
      </c>
      <c r="R92" s="23" t="s">
        <v>315</v>
      </c>
      <c r="S92" s="23" t="s">
        <v>314</v>
      </c>
    </row>
    <row r="93" spans="1:21" ht="20.100000000000001" customHeight="1" x14ac:dyDescent="0.2">
      <c r="C93" s="5" t="s">
        <v>259</v>
      </c>
      <c r="D93" s="5" t="s">
        <v>263</v>
      </c>
      <c r="E93" s="5" t="s">
        <v>264</v>
      </c>
      <c r="F93" s="5" t="s">
        <v>57</v>
      </c>
      <c r="G93" s="5">
        <v>11</v>
      </c>
      <c r="H93" s="5">
        <v>28</v>
      </c>
      <c r="I93" s="5">
        <v>10</v>
      </c>
      <c r="J93" s="17">
        <f t="shared" si="52"/>
        <v>36</v>
      </c>
      <c r="K93" s="9">
        <f t="shared" si="53"/>
        <v>19.5</v>
      </c>
      <c r="L93" s="10">
        <f t="shared" si="54"/>
        <v>55.5</v>
      </c>
      <c r="M93" s="11">
        <f t="shared" si="55"/>
        <v>62.5</v>
      </c>
      <c r="N93" s="11">
        <f t="shared" si="56"/>
        <v>15</v>
      </c>
      <c r="O93" s="9">
        <v>6</v>
      </c>
      <c r="P93" s="9">
        <v>6</v>
      </c>
      <c r="Q93" s="23" t="s">
        <v>325</v>
      </c>
      <c r="R93" s="23" t="s">
        <v>316</v>
      </c>
      <c r="S93" s="23" t="s">
        <v>361</v>
      </c>
    </row>
    <row r="94" spans="1:21" ht="20.100000000000001" customHeight="1" x14ac:dyDescent="0.2">
      <c r="C94" s="5" t="s">
        <v>259</v>
      </c>
      <c r="D94" s="5" t="s">
        <v>265</v>
      </c>
      <c r="E94" s="5" t="s">
        <v>266</v>
      </c>
      <c r="F94" s="5" t="s">
        <v>57</v>
      </c>
      <c r="G94" s="5">
        <v>10</v>
      </c>
      <c r="H94" s="5">
        <v>35</v>
      </c>
      <c r="I94" s="5">
        <v>10.5</v>
      </c>
      <c r="J94" s="17">
        <f t="shared" si="52"/>
        <v>37.5</v>
      </c>
      <c r="K94" s="9">
        <f t="shared" si="53"/>
        <v>22.5</v>
      </c>
      <c r="L94" s="10">
        <f t="shared" si="54"/>
        <v>60</v>
      </c>
      <c r="M94" s="11">
        <f t="shared" si="55"/>
        <v>65.625</v>
      </c>
      <c r="N94" s="11">
        <f t="shared" si="56"/>
        <v>15.75</v>
      </c>
      <c r="O94" s="9">
        <v>6</v>
      </c>
      <c r="P94" s="9">
        <v>8</v>
      </c>
      <c r="Q94" s="23" t="s">
        <v>318</v>
      </c>
      <c r="R94" s="9"/>
      <c r="S94" s="9"/>
    </row>
    <row r="95" spans="1:21" ht="20.100000000000001" customHeight="1" x14ac:dyDescent="0.2">
      <c r="A95" s="3">
        <v>60</v>
      </c>
      <c r="B95" s="3">
        <v>65</v>
      </c>
      <c r="C95" s="12" t="s">
        <v>267</v>
      </c>
      <c r="D95" s="12" t="s">
        <v>268</v>
      </c>
      <c r="E95" s="12" t="s">
        <v>269</v>
      </c>
      <c r="F95" s="12" t="s">
        <v>57</v>
      </c>
      <c r="G95" s="12">
        <v>12</v>
      </c>
      <c r="H95" s="12">
        <v>30</v>
      </c>
      <c r="I95" s="12">
        <v>10.5</v>
      </c>
      <c r="J95" s="17">
        <f t="shared" ref="J95:J105" si="62">(G95*$I$2)+(H95*$I$3)</f>
        <v>39</v>
      </c>
      <c r="K95" s="9">
        <f t="shared" ref="K95:K117" si="63">(G95*$I$5)+(H95*$I$6)+(I95*$I$7)</f>
        <v>21</v>
      </c>
      <c r="L95" s="10">
        <f t="shared" ref="L95:L105" si="64">J95+K95</f>
        <v>60</v>
      </c>
      <c r="M95" s="11">
        <f t="shared" ref="M95:M118" si="65">I95*$M$2</f>
        <v>65.625</v>
      </c>
      <c r="N95" s="11">
        <f t="shared" ref="N95:N118" si="66">I95*$M$3</f>
        <v>15.75</v>
      </c>
      <c r="O95" s="9">
        <v>9</v>
      </c>
      <c r="P95" s="9">
        <v>9</v>
      </c>
      <c r="Q95" s="23" t="s">
        <v>319</v>
      </c>
      <c r="R95" s="9"/>
      <c r="S95" s="9"/>
    </row>
    <row r="96" spans="1:21" ht="20.100000000000001" customHeight="1" x14ac:dyDescent="0.2">
      <c r="C96" s="12" t="s">
        <v>267</v>
      </c>
      <c r="D96" s="21" t="s">
        <v>270</v>
      </c>
      <c r="E96" s="12" t="s">
        <v>271</v>
      </c>
      <c r="F96" s="12" t="s">
        <v>57</v>
      </c>
      <c r="G96" s="12">
        <v>10</v>
      </c>
      <c r="H96" s="12">
        <v>15</v>
      </c>
      <c r="I96" s="12">
        <v>7</v>
      </c>
      <c r="J96" s="17">
        <f t="shared" si="62"/>
        <v>27.5</v>
      </c>
      <c r="K96" s="9">
        <f t="shared" si="63"/>
        <v>12.5</v>
      </c>
      <c r="L96" s="10">
        <f t="shared" si="64"/>
        <v>40</v>
      </c>
      <c r="M96" s="11">
        <f t="shared" si="65"/>
        <v>43.75</v>
      </c>
      <c r="N96" s="11">
        <f t="shared" si="66"/>
        <v>10.5</v>
      </c>
      <c r="O96" s="9">
        <v>9</v>
      </c>
      <c r="P96" s="9">
        <v>10</v>
      </c>
      <c r="Q96" s="23" t="s">
        <v>320</v>
      </c>
      <c r="R96" s="9"/>
      <c r="S96" s="9"/>
    </row>
    <row r="97" spans="1:20" ht="20.100000000000001" customHeight="1" x14ac:dyDescent="0.2">
      <c r="A97" s="3">
        <v>75</v>
      </c>
      <c r="B97" s="3">
        <v>80</v>
      </c>
      <c r="C97" s="5" t="s">
        <v>272</v>
      </c>
      <c r="D97" s="5" t="s">
        <v>273</v>
      </c>
      <c r="E97" s="5" t="s">
        <v>274</v>
      </c>
      <c r="F97" s="5" t="s">
        <v>57</v>
      </c>
      <c r="G97" s="5">
        <v>25</v>
      </c>
      <c r="H97" s="5">
        <v>13</v>
      </c>
      <c r="I97" s="5">
        <v>12.7</v>
      </c>
      <c r="J97" s="17">
        <f t="shared" si="62"/>
        <v>56.5</v>
      </c>
      <c r="K97" s="9">
        <f t="shared" si="63"/>
        <v>19</v>
      </c>
      <c r="L97" s="10">
        <f t="shared" si="64"/>
        <v>75.5</v>
      </c>
      <c r="M97" s="11">
        <f t="shared" si="65"/>
        <v>79.375</v>
      </c>
      <c r="N97" s="11">
        <f t="shared" si="66"/>
        <v>19.049999999999997</v>
      </c>
      <c r="O97" s="9">
        <v>9</v>
      </c>
      <c r="P97" s="9">
        <v>10</v>
      </c>
      <c r="Q97" s="3" t="s">
        <v>275</v>
      </c>
      <c r="R97" s="23" t="s">
        <v>321</v>
      </c>
      <c r="S97" s="9" t="s">
        <v>276</v>
      </c>
      <c r="T97" s="24" t="s">
        <v>361</v>
      </c>
    </row>
    <row r="98" spans="1:20" ht="20.100000000000001" customHeight="1" x14ac:dyDescent="0.2">
      <c r="C98" s="5" t="s">
        <v>272</v>
      </c>
      <c r="D98" s="5" t="s">
        <v>277</v>
      </c>
      <c r="E98" s="5" t="s">
        <v>278</v>
      </c>
      <c r="F98" s="5" t="s">
        <v>57</v>
      </c>
      <c r="G98" s="5">
        <v>25</v>
      </c>
      <c r="H98" s="5">
        <v>10</v>
      </c>
      <c r="I98" s="5">
        <v>12</v>
      </c>
      <c r="J98" s="17">
        <f t="shared" si="62"/>
        <v>55</v>
      </c>
      <c r="K98" s="9">
        <f t="shared" si="63"/>
        <v>17.5</v>
      </c>
      <c r="L98" s="10">
        <f t="shared" si="64"/>
        <v>72.5</v>
      </c>
      <c r="M98" s="11">
        <f t="shared" si="65"/>
        <v>75</v>
      </c>
      <c r="N98" s="11">
        <f t="shared" si="66"/>
        <v>18</v>
      </c>
      <c r="O98" s="9">
        <v>8</v>
      </c>
      <c r="P98" s="9">
        <v>12</v>
      </c>
      <c r="Q98" s="9" t="s">
        <v>151</v>
      </c>
      <c r="R98" s="23" t="s">
        <v>322</v>
      </c>
      <c r="S98" s="23" t="s">
        <v>323</v>
      </c>
    </row>
    <row r="99" spans="1:20" ht="20.100000000000001" customHeight="1" x14ac:dyDescent="0.2">
      <c r="A99" s="3">
        <v>77</v>
      </c>
      <c r="B99" s="3">
        <v>85</v>
      </c>
      <c r="C99" s="9" t="s">
        <v>279</v>
      </c>
      <c r="D99" s="9"/>
      <c r="E99" s="9"/>
      <c r="F99" s="9"/>
      <c r="G99" s="9"/>
      <c r="H99" s="9"/>
      <c r="I99" s="9"/>
      <c r="J99" s="17">
        <f t="shared" si="62"/>
        <v>0</v>
      </c>
      <c r="K99" s="9">
        <f t="shared" si="63"/>
        <v>0</v>
      </c>
      <c r="L99" s="10">
        <f t="shared" si="64"/>
        <v>0</v>
      </c>
      <c r="M99" s="11">
        <f t="shared" si="65"/>
        <v>0</v>
      </c>
      <c r="N99" s="11">
        <f t="shared" si="66"/>
        <v>0</v>
      </c>
      <c r="O99" s="9"/>
      <c r="P99" s="9"/>
      <c r="Q99" s="9"/>
      <c r="R99" s="9"/>
      <c r="S99" s="9"/>
    </row>
    <row r="100" spans="1:20" ht="20.100000000000001" customHeight="1" x14ac:dyDescent="0.2">
      <c r="C100" s="9"/>
      <c r="D100" s="9"/>
      <c r="E100" s="9"/>
      <c r="F100" s="9"/>
      <c r="G100" s="9"/>
      <c r="H100" s="9"/>
      <c r="I100" s="9"/>
      <c r="J100" s="17">
        <f t="shared" si="62"/>
        <v>0</v>
      </c>
      <c r="K100" s="9">
        <f t="shared" si="63"/>
        <v>0</v>
      </c>
      <c r="L100" s="10">
        <f t="shared" si="64"/>
        <v>0</v>
      </c>
      <c r="M100" s="11">
        <f t="shared" si="65"/>
        <v>0</v>
      </c>
      <c r="N100" s="11">
        <f t="shared" si="66"/>
        <v>0</v>
      </c>
      <c r="O100" s="9"/>
      <c r="P100" s="9"/>
      <c r="Q100" s="9"/>
      <c r="R100" s="9"/>
      <c r="S100" s="9"/>
    </row>
    <row r="101" spans="1:20" ht="20.100000000000001" customHeight="1" x14ac:dyDescent="0.2">
      <c r="A101" s="3">
        <v>80</v>
      </c>
      <c r="B101" s="3">
        <v>90</v>
      </c>
      <c r="C101" s="9" t="s">
        <v>280</v>
      </c>
      <c r="D101" s="9"/>
      <c r="E101" s="9"/>
      <c r="F101" s="9"/>
      <c r="G101" s="9"/>
      <c r="H101" s="9"/>
      <c r="I101" s="9"/>
      <c r="J101" s="17">
        <f t="shared" si="62"/>
        <v>0</v>
      </c>
      <c r="K101" s="9">
        <f t="shared" si="63"/>
        <v>0</v>
      </c>
      <c r="L101" s="10">
        <f t="shared" si="64"/>
        <v>0</v>
      </c>
      <c r="M101" s="11">
        <f t="shared" si="65"/>
        <v>0</v>
      </c>
      <c r="N101" s="11">
        <f t="shared" si="66"/>
        <v>0</v>
      </c>
      <c r="O101" s="9"/>
      <c r="P101" s="9"/>
      <c r="Q101" s="9"/>
      <c r="R101" s="9"/>
      <c r="S101" s="9"/>
    </row>
    <row r="102" spans="1:20" ht="20.100000000000001" customHeight="1" x14ac:dyDescent="0.2">
      <c r="C102" s="9"/>
      <c r="D102" s="9"/>
      <c r="E102" s="9"/>
      <c r="F102" s="9"/>
      <c r="G102" s="9"/>
      <c r="H102" s="9"/>
      <c r="I102" s="9"/>
      <c r="J102" s="17">
        <f t="shared" si="62"/>
        <v>0</v>
      </c>
      <c r="K102" s="9">
        <f t="shared" si="63"/>
        <v>0</v>
      </c>
      <c r="L102" s="10">
        <f t="shared" si="64"/>
        <v>0</v>
      </c>
      <c r="M102" s="11">
        <f t="shared" si="65"/>
        <v>0</v>
      </c>
      <c r="N102" s="11">
        <f t="shared" si="66"/>
        <v>0</v>
      </c>
      <c r="O102" s="9"/>
      <c r="P102" s="9"/>
      <c r="Q102" s="9"/>
      <c r="R102" s="9"/>
      <c r="S102" s="9"/>
    </row>
    <row r="103" spans="1:20" ht="20.100000000000001" customHeight="1" x14ac:dyDescent="0.2">
      <c r="C103" s="9"/>
      <c r="D103" s="9"/>
      <c r="E103" s="9"/>
      <c r="F103" s="9"/>
      <c r="G103" s="9"/>
      <c r="H103" s="9"/>
      <c r="I103" s="9"/>
      <c r="J103" s="17">
        <f t="shared" si="62"/>
        <v>0</v>
      </c>
      <c r="K103" s="9">
        <f t="shared" si="63"/>
        <v>0</v>
      </c>
      <c r="L103" s="10">
        <f t="shared" si="64"/>
        <v>0</v>
      </c>
      <c r="M103" s="11">
        <f t="shared" si="65"/>
        <v>0</v>
      </c>
      <c r="N103" s="11">
        <f t="shared" si="66"/>
        <v>0</v>
      </c>
      <c r="O103" s="9"/>
      <c r="P103" s="9"/>
      <c r="Q103" s="9"/>
      <c r="R103" s="9"/>
      <c r="S103" s="9"/>
    </row>
    <row r="104" spans="1:20" ht="20.100000000000001" customHeight="1" x14ac:dyDescent="0.2">
      <c r="C104" s="9"/>
      <c r="D104" s="9"/>
      <c r="E104" s="9"/>
      <c r="F104" s="9"/>
      <c r="G104" s="9"/>
      <c r="H104" s="9"/>
      <c r="I104" s="9"/>
      <c r="J104" s="17">
        <f t="shared" si="62"/>
        <v>0</v>
      </c>
      <c r="K104" s="9">
        <f t="shared" si="63"/>
        <v>0</v>
      </c>
      <c r="L104" s="10">
        <f t="shared" si="64"/>
        <v>0</v>
      </c>
      <c r="M104" s="11">
        <f t="shared" si="65"/>
        <v>0</v>
      </c>
      <c r="N104" s="11">
        <f t="shared" si="66"/>
        <v>0</v>
      </c>
      <c r="O104" s="9"/>
      <c r="P104" s="9"/>
      <c r="Q104" s="9"/>
      <c r="R104" s="9"/>
      <c r="S104" s="9"/>
    </row>
    <row r="105" spans="1:20" ht="20.100000000000001" customHeight="1" x14ac:dyDescent="0.2">
      <c r="C105" s="9"/>
      <c r="D105" s="9"/>
      <c r="E105" s="9"/>
      <c r="F105" s="9"/>
      <c r="G105" s="9"/>
      <c r="H105" s="9"/>
      <c r="I105" s="9"/>
      <c r="J105" s="17">
        <f t="shared" si="62"/>
        <v>0</v>
      </c>
      <c r="K105" s="9">
        <f t="shared" si="63"/>
        <v>0</v>
      </c>
      <c r="L105" s="10">
        <f t="shared" si="64"/>
        <v>0</v>
      </c>
      <c r="M105" s="11">
        <f t="shared" si="65"/>
        <v>0</v>
      </c>
      <c r="N105" s="11">
        <f t="shared" si="66"/>
        <v>0</v>
      </c>
      <c r="O105" s="9"/>
      <c r="P105" s="9"/>
      <c r="Q105" s="9"/>
      <c r="R105" s="9"/>
      <c r="S105" s="9"/>
    </row>
    <row r="106" spans="1:20" ht="20.100000000000001" customHeight="1" x14ac:dyDescent="0.2">
      <c r="C106" s="9"/>
      <c r="D106" s="9"/>
      <c r="E106" s="9"/>
      <c r="F106" s="9"/>
      <c r="G106" s="9"/>
      <c r="H106" s="9"/>
      <c r="I106" s="9"/>
      <c r="J106" s="17">
        <f t="shared" ref="J106:J126" si="67">(G106*$I$2)+(H106*$I$3)</f>
        <v>0</v>
      </c>
      <c r="K106" s="9">
        <f t="shared" si="63"/>
        <v>0</v>
      </c>
      <c r="L106" s="10">
        <f t="shared" ref="L106:L126" si="68">J106+K106</f>
        <v>0</v>
      </c>
      <c r="M106" s="11">
        <f t="shared" si="65"/>
        <v>0</v>
      </c>
      <c r="N106" s="11">
        <f t="shared" si="66"/>
        <v>0</v>
      </c>
      <c r="O106" s="9"/>
      <c r="P106" s="9"/>
      <c r="Q106" s="9"/>
      <c r="R106" s="9"/>
      <c r="S106" s="9"/>
    </row>
    <row r="107" spans="1:20" ht="20.100000000000001" customHeight="1" x14ac:dyDescent="0.2">
      <c r="C107" s="9"/>
      <c r="D107" s="9"/>
      <c r="E107" s="9"/>
      <c r="F107" s="9"/>
      <c r="G107" s="9"/>
      <c r="H107" s="9"/>
      <c r="I107" s="9"/>
      <c r="J107" s="17">
        <f t="shared" si="67"/>
        <v>0</v>
      </c>
      <c r="K107" s="9">
        <f t="shared" si="63"/>
        <v>0</v>
      </c>
      <c r="L107" s="10">
        <f t="shared" si="68"/>
        <v>0</v>
      </c>
      <c r="M107" s="11">
        <f t="shared" si="65"/>
        <v>0</v>
      </c>
      <c r="N107" s="11">
        <f t="shared" si="66"/>
        <v>0</v>
      </c>
      <c r="O107" s="9"/>
      <c r="P107" s="9"/>
      <c r="Q107" s="9"/>
      <c r="R107" s="9"/>
      <c r="S107" s="9"/>
    </row>
    <row r="108" spans="1:20" ht="20.100000000000001" customHeight="1" x14ac:dyDescent="0.2">
      <c r="C108" s="9"/>
      <c r="D108" s="9"/>
      <c r="E108" s="9"/>
      <c r="F108" s="9"/>
      <c r="G108" s="9"/>
      <c r="H108" s="9"/>
      <c r="I108" s="9"/>
      <c r="J108" s="17">
        <f t="shared" si="67"/>
        <v>0</v>
      </c>
      <c r="K108" s="9">
        <f t="shared" si="63"/>
        <v>0</v>
      </c>
      <c r="L108" s="10">
        <f t="shared" si="68"/>
        <v>0</v>
      </c>
      <c r="M108" s="11">
        <f t="shared" si="65"/>
        <v>0</v>
      </c>
      <c r="N108" s="11">
        <f t="shared" si="66"/>
        <v>0</v>
      </c>
      <c r="O108" s="9"/>
      <c r="P108" s="9"/>
      <c r="Q108" s="9"/>
      <c r="R108" s="9"/>
      <c r="S108" s="9"/>
    </row>
    <row r="109" spans="1:20" ht="20.100000000000001" customHeight="1" x14ac:dyDescent="0.2">
      <c r="C109" s="9"/>
      <c r="D109" s="9"/>
      <c r="E109" s="9"/>
      <c r="F109" s="9"/>
      <c r="G109" s="9"/>
      <c r="H109" s="9"/>
      <c r="I109" s="9"/>
      <c r="J109" s="17">
        <f t="shared" si="67"/>
        <v>0</v>
      </c>
      <c r="K109" s="9">
        <f t="shared" si="63"/>
        <v>0</v>
      </c>
      <c r="L109" s="10">
        <f t="shared" si="68"/>
        <v>0</v>
      </c>
      <c r="M109" s="11">
        <f t="shared" si="65"/>
        <v>0</v>
      </c>
      <c r="N109" s="11">
        <f t="shared" si="66"/>
        <v>0</v>
      </c>
      <c r="O109" s="9"/>
      <c r="P109" s="9"/>
      <c r="Q109" s="9"/>
      <c r="R109" s="9"/>
      <c r="S109" s="9"/>
    </row>
    <row r="110" spans="1:20" ht="20.100000000000001" customHeight="1" x14ac:dyDescent="0.2">
      <c r="C110" s="9"/>
      <c r="D110" s="9"/>
      <c r="E110" s="9"/>
      <c r="F110" s="9"/>
      <c r="G110" s="9"/>
      <c r="H110" s="9"/>
      <c r="I110" s="9"/>
      <c r="J110" s="17">
        <f t="shared" si="67"/>
        <v>0</v>
      </c>
      <c r="K110" s="9">
        <f t="shared" si="63"/>
        <v>0</v>
      </c>
      <c r="L110" s="10">
        <f t="shared" si="68"/>
        <v>0</v>
      </c>
      <c r="M110" s="11">
        <f t="shared" si="65"/>
        <v>0</v>
      </c>
      <c r="N110" s="11">
        <f t="shared" si="66"/>
        <v>0</v>
      </c>
      <c r="O110" s="9"/>
      <c r="P110" s="9"/>
      <c r="Q110" s="9"/>
      <c r="R110" s="9"/>
      <c r="S110" s="9"/>
    </row>
    <row r="111" spans="1:20" ht="20.100000000000001" customHeight="1" x14ac:dyDescent="0.2">
      <c r="C111" s="9"/>
      <c r="D111" s="9"/>
      <c r="E111" s="9"/>
      <c r="F111" s="9"/>
      <c r="G111" s="9"/>
      <c r="H111" s="9"/>
      <c r="I111" s="9"/>
      <c r="J111" s="17">
        <f t="shared" si="67"/>
        <v>0</v>
      </c>
      <c r="K111" s="9">
        <f t="shared" si="63"/>
        <v>0</v>
      </c>
      <c r="L111" s="10">
        <f t="shared" si="68"/>
        <v>0</v>
      </c>
      <c r="M111" s="11">
        <f t="shared" si="65"/>
        <v>0</v>
      </c>
      <c r="N111" s="11">
        <f t="shared" si="66"/>
        <v>0</v>
      </c>
      <c r="O111" s="9"/>
      <c r="P111" s="9"/>
      <c r="Q111" s="9"/>
      <c r="R111" s="9"/>
      <c r="S111" s="9"/>
    </row>
    <row r="112" spans="1:20" ht="20.100000000000001" customHeight="1" x14ac:dyDescent="0.2">
      <c r="C112" s="9"/>
      <c r="D112" s="9"/>
      <c r="E112" s="9"/>
      <c r="F112" s="9"/>
      <c r="G112" s="9"/>
      <c r="H112" s="9"/>
      <c r="I112" s="9"/>
      <c r="J112" s="17">
        <f t="shared" si="67"/>
        <v>0</v>
      </c>
      <c r="K112" s="9">
        <f t="shared" si="63"/>
        <v>0</v>
      </c>
      <c r="L112" s="10">
        <f t="shared" si="68"/>
        <v>0</v>
      </c>
      <c r="M112" s="11">
        <f t="shared" si="65"/>
        <v>0</v>
      </c>
      <c r="N112" s="11">
        <f t="shared" si="66"/>
        <v>0</v>
      </c>
      <c r="O112" s="9"/>
      <c r="P112" s="9"/>
      <c r="Q112" s="9"/>
      <c r="R112" s="9"/>
      <c r="S112" s="9"/>
    </row>
    <row r="113" spans="3:19" ht="20.100000000000001" customHeight="1" x14ac:dyDescent="0.2">
      <c r="C113" s="9"/>
      <c r="D113" s="9"/>
      <c r="E113" s="9"/>
      <c r="F113" s="9"/>
      <c r="G113" s="9"/>
      <c r="H113" s="9"/>
      <c r="I113" s="9"/>
      <c r="J113" s="17">
        <f t="shared" si="67"/>
        <v>0</v>
      </c>
      <c r="K113" s="9">
        <f t="shared" si="63"/>
        <v>0</v>
      </c>
      <c r="L113" s="10">
        <f t="shared" si="68"/>
        <v>0</v>
      </c>
      <c r="M113" s="11">
        <f t="shared" si="65"/>
        <v>0</v>
      </c>
      <c r="N113" s="11">
        <f t="shared" si="66"/>
        <v>0</v>
      </c>
      <c r="O113" s="9"/>
      <c r="P113" s="9"/>
      <c r="Q113" s="9"/>
      <c r="R113" s="9"/>
      <c r="S113" s="9"/>
    </row>
    <row r="114" spans="3:19" ht="20.100000000000001" customHeight="1" x14ac:dyDescent="0.2">
      <c r="C114" s="9"/>
      <c r="D114" s="9"/>
      <c r="E114" s="9"/>
      <c r="F114" s="9"/>
      <c r="G114" s="9"/>
      <c r="H114" s="9"/>
      <c r="I114" s="9"/>
      <c r="J114" s="17">
        <f t="shared" si="67"/>
        <v>0</v>
      </c>
      <c r="K114" s="9">
        <f t="shared" si="63"/>
        <v>0</v>
      </c>
      <c r="L114" s="10">
        <f t="shared" si="68"/>
        <v>0</v>
      </c>
      <c r="M114" s="11">
        <f t="shared" si="65"/>
        <v>0</v>
      </c>
      <c r="N114" s="11">
        <f t="shared" si="66"/>
        <v>0</v>
      </c>
      <c r="O114" s="9"/>
      <c r="P114" s="9"/>
      <c r="Q114" s="9"/>
      <c r="R114" s="9"/>
      <c r="S114" s="9"/>
    </row>
    <row r="115" spans="3:19" ht="20.100000000000001" customHeight="1" x14ac:dyDescent="0.2">
      <c r="C115" s="9"/>
      <c r="D115" s="9"/>
      <c r="E115" s="9"/>
      <c r="F115" s="9"/>
      <c r="G115" s="9"/>
      <c r="H115" s="9"/>
      <c r="I115" s="9"/>
      <c r="J115" s="17">
        <f t="shared" si="67"/>
        <v>0</v>
      </c>
      <c r="K115" s="9">
        <f t="shared" si="63"/>
        <v>0</v>
      </c>
      <c r="L115" s="10">
        <f t="shared" si="68"/>
        <v>0</v>
      </c>
      <c r="M115" s="11">
        <f t="shared" si="65"/>
        <v>0</v>
      </c>
      <c r="N115" s="11">
        <f t="shared" si="66"/>
        <v>0</v>
      </c>
      <c r="O115" s="9"/>
      <c r="P115" s="9"/>
      <c r="Q115" s="9"/>
      <c r="R115" s="9"/>
      <c r="S115" s="9"/>
    </row>
    <row r="116" spans="3:19" ht="20.100000000000001" customHeight="1" x14ac:dyDescent="0.2">
      <c r="C116" s="9"/>
      <c r="D116" s="9"/>
      <c r="E116" s="9"/>
      <c r="F116" s="9"/>
      <c r="G116" s="9"/>
      <c r="H116" s="9"/>
      <c r="I116" s="9"/>
      <c r="J116" s="17">
        <f t="shared" si="67"/>
        <v>0</v>
      </c>
      <c r="K116" s="9">
        <f t="shared" si="63"/>
        <v>0</v>
      </c>
      <c r="L116" s="10">
        <f t="shared" si="68"/>
        <v>0</v>
      </c>
      <c r="M116" s="11">
        <f t="shared" si="65"/>
        <v>0</v>
      </c>
      <c r="N116" s="11">
        <f t="shared" si="66"/>
        <v>0</v>
      </c>
      <c r="O116" s="9"/>
      <c r="P116" s="9"/>
      <c r="Q116" s="9"/>
      <c r="R116" s="9"/>
      <c r="S116" s="9"/>
    </row>
    <row r="117" spans="3:19" ht="20.100000000000001" customHeight="1" x14ac:dyDescent="0.2">
      <c r="C117" s="9"/>
      <c r="D117" s="9"/>
      <c r="E117" s="9"/>
      <c r="F117" s="9"/>
      <c r="G117" s="9"/>
      <c r="H117" s="9"/>
      <c r="I117" s="9"/>
      <c r="J117" s="17">
        <f t="shared" si="67"/>
        <v>0</v>
      </c>
      <c r="K117" s="9">
        <f t="shared" si="63"/>
        <v>0</v>
      </c>
      <c r="L117" s="10">
        <f t="shared" si="68"/>
        <v>0</v>
      </c>
      <c r="M117" s="11">
        <f t="shared" si="65"/>
        <v>0</v>
      </c>
      <c r="N117" s="11">
        <f t="shared" si="66"/>
        <v>0</v>
      </c>
      <c r="O117" s="9"/>
      <c r="P117" s="9"/>
      <c r="Q117" s="9"/>
      <c r="R117" s="9"/>
      <c r="S117" s="9"/>
    </row>
    <row r="118" spans="3:19" ht="20.100000000000001" customHeight="1" x14ac:dyDescent="0.2">
      <c r="C118" s="9"/>
      <c r="D118" s="9"/>
      <c r="E118" s="9"/>
      <c r="F118" s="9"/>
      <c r="G118" s="9"/>
      <c r="H118" s="9"/>
      <c r="I118" s="9"/>
      <c r="J118" s="17">
        <f t="shared" si="67"/>
        <v>0</v>
      </c>
      <c r="K118" s="9">
        <f t="shared" ref="K118:K162" si="69">(G118*$I$5)+(H118*$I$6)+(I118*$I$7)</f>
        <v>0</v>
      </c>
      <c r="L118" s="10">
        <f t="shared" si="68"/>
        <v>0</v>
      </c>
      <c r="M118" s="11">
        <f t="shared" si="65"/>
        <v>0</v>
      </c>
      <c r="N118" s="11">
        <f t="shared" si="66"/>
        <v>0</v>
      </c>
      <c r="O118" s="9"/>
      <c r="P118" s="9"/>
      <c r="Q118" s="9"/>
      <c r="R118" s="9"/>
      <c r="S118" s="9"/>
    </row>
    <row r="119" spans="3:19" ht="20.100000000000001" customHeight="1" x14ac:dyDescent="0.2">
      <c r="C119" s="9"/>
      <c r="D119" s="9"/>
      <c r="E119" s="9"/>
      <c r="F119" s="9"/>
      <c r="G119" s="9"/>
      <c r="H119" s="9"/>
      <c r="I119" s="9"/>
      <c r="J119" s="17">
        <f t="shared" si="67"/>
        <v>0</v>
      </c>
      <c r="K119" s="9">
        <f t="shared" si="69"/>
        <v>0</v>
      </c>
      <c r="L119" s="10">
        <f t="shared" si="68"/>
        <v>0</v>
      </c>
      <c r="M119" s="11">
        <f t="shared" ref="M119:M162" si="70">I119*$M$2</f>
        <v>0</v>
      </c>
      <c r="N119" s="11">
        <f t="shared" ref="N119:N162" si="71">I119*$M$3</f>
        <v>0</v>
      </c>
      <c r="O119" s="9"/>
      <c r="P119" s="9"/>
      <c r="Q119" s="9"/>
      <c r="R119" s="9"/>
      <c r="S119" s="9"/>
    </row>
    <row r="120" spans="3:19" ht="20.100000000000001" customHeight="1" x14ac:dyDescent="0.2">
      <c r="C120" s="9"/>
      <c r="D120" s="9"/>
      <c r="E120" s="9"/>
      <c r="F120" s="9"/>
      <c r="G120" s="9"/>
      <c r="H120" s="9"/>
      <c r="I120" s="9"/>
      <c r="J120" s="17">
        <f t="shared" si="67"/>
        <v>0</v>
      </c>
      <c r="K120" s="9">
        <f t="shared" si="69"/>
        <v>0</v>
      </c>
      <c r="L120" s="10">
        <f t="shared" si="68"/>
        <v>0</v>
      </c>
      <c r="M120" s="11">
        <f t="shared" si="70"/>
        <v>0</v>
      </c>
      <c r="N120" s="11">
        <f t="shared" si="71"/>
        <v>0</v>
      </c>
      <c r="O120" s="9"/>
      <c r="P120" s="9"/>
      <c r="Q120" s="9"/>
      <c r="R120" s="9"/>
      <c r="S120" s="9"/>
    </row>
    <row r="121" spans="3:19" ht="20.100000000000001" customHeight="1" x14ac:dyDescent="0.2">
      <c r="C121" s="9"/>
      <c r="D121" s="9"/>
      <c r="E121" s="9"/>
      <c r="F121" s="9"/>
      <c r="G121" s="9"/>
      <c r="H121" s="9"/>
      <c r="I121" s="9"/>
      <c r="J121" s="17">
        <f t="shared" si="67"/>
        <v>0</v>
      </c>
      <c r="K121" s="9">
        <f t="shared" si="69"/>
        <v>0</v>
      </c>
      <c r="L121" s="10">
        <f t="shared" si="68"/>
        <v>0</v>
      </c>
      <c r="M121" s="11">
        <f t="shared" si="70"/>
        <v>0</v>
      </c>
      <c r="N121" s="11">
        <f t="shared" si="71"/>
        <v>0</v>
      </c>
      <c r="O121" s="9"/>
      <c r="P121" s="9"/>
      <c r="Q121" s="9"/>
      <c r="R121" s="9"/>
      <c r="S121" s="9"/>
    </row>
    <row r="122" spans="3:19" ht="20.100000000000001" customHeight="1" x14ac:dyDescent="0.2">
      <c r="C122" s="9"/>
      <c r="D122" s="9"/>
      <c r="E122" s="9"/>
      <c r="F122" s="9"/>
      <c r="G122" s="9"/>
      <c r="H122" s="9"/>
      <c r="I122" s="9"/>
      <c r="J122" s="17">
        <f t="shared" si="67"/>
        <v>0</v>
      </c>
      <c r="K122" s="9">
        <f t="shared" si="69"/>
        <v>0</v>
      </c>
      <c r="L122" s="10">
        <f t="shared" si="68"/>
        <v>0</v>
      </c>
      <c r="M122" s="11">
        <f t="shared" si="70"/>
        <v>0</v>
      </c>
      <c r="N122" s="11">
        <f t="shared" si="71"/>
        <v>0</v>
      </c>
      <c r="O122" s="9"/>
      <c r="P122" s="9"/>
      <c r="Q122" s="9"/>
      <c r="R122" s="9"/>
      <c r="S122" s="9"/>
    </row>
    <row r="123" spans="3:19" ht="20.100000000000001" customHeight="1" x14ac:dyDescent="0.2">
      <c r="C123" s="9"/>
      <c r="D123" s="9"/>
      <c r="E123" s="9"/>
      <c r="F123" s="9"/>
      <c r="G123" s="9"/>
      <c r="H123" s="9"/>
      <c r="I123" s="9"/>
      <c r="J123" s="17">
        <f t="shared" si="67"/>
        <v>0</v>
      </c>
      <c r="K123" s="9">
        <f t="shared" si="69"/>
        <v>0</v>
      </c>
      <c r="L123" s="10">
        <f t="shared" si="68"/>
        <v>0</v>
      </c>
      <c r="M123" s="11">
        <f t="shared" si="70"/>
        <v>0</v>
      </c>
      <c r="N123" s="11">
        <f t="shared" si="71"/>
        <v>0</v>
      </c>
      <c r="O123" s="9"/>
      <c r="P123" s="9"/>
      <c r="Q123" s="9"/>
      <c r="R123" s="9"/>
      <c r="S123" s="9"/>
    </row>
    <row r="124" spans="3:19" ht="20.100000000000001" customHeight="1" x14ac:dyDescent="0.2">
      <c r="C124" s="9"/>
      <c r="D124" s="9"/>
      <c r="E124" s="9"/>
      <c r="F124" s="9"/>
      <c r="G124" s="9"/>
      <c r="H124" s="9"/>
      <c r="I124" s="9"/>
      <c r="J124" s="17">
        <f t="shared" si="67"/>
        <v>0</v>
      </c>
      <c r="K124" s="9">
        <f t="shared" si="69"/>
        <v>0</v>
      </c>
      <c r="L124" s="10">
        <f t="shared" si="68"/>
        <v>0</v>
      </c>
      <c r="M124" s="11">
        <f t="shared" si="70"/>
        <v>0</v>
      </c>
      <c r="N124" s="11">
        <f t="shared" si="71"/>
        <v>0</v>
      </c>
      <c r="O124" s="9"/>
      <c r="P124" s="9"/>
      <c r="Q124" s="9"/>
      <c r="R124" s="9"/>
      <c r="S124" s="9"/>
    </row>
    <row r="125" spans="3:19" ht="20.100000000000001" customHeight="1" x14ac:dyDescent="0.2">
      <c r="C125" s="9"/>
      <c r="D125" s="9"/>
      <c r="E125" s="9"/>
      <c r="F125" s="9"/>
      <c r="G125" s="9"/>
      <c r="H125" s="9"/>
      <c r="I125" s="9"/>
      <c r="J125" s="17">
        <f t="shared" si="67"/>
        <v>0</v>
      </c>
      <c r="K125" s="9">
        <f t="shared" si="69"/>
        <v>0</v>
      </c>
      <c r="L125" s="10">
        <f t="shared" si="68"/>
        <v>0</v>
      </c>
      <c r="M125" s="11">
        <f t="shared" si="70"/>
        <v>0</v>
      </c>
      <c r="N125" s="11">
        <f t="shared" si="71"/>
        <v>0</v>
      </c>
      <c r="O125" s="9"/>
      <c r="P125" s="9"/>
      <c r="Q125" s="9"/>
      <c r="R125" s="9"/>
      <c r="S125" s="9"/>
    </row>
    <row r="126" spans="3:19" ht="20.100000000000001" customHeight="1" x14ac:dyDescent="0.2">
      <c r="C126" s="9"/>
      <c r="D126" s="9"/>
      <c r="E126" s="9"/>
      <c r="F126" s="9"/>
      <c r="G126" s="9"/>
      <c r="H126" s="9"/>
      <c r="I126" s="9"/>
      <c r="J126" s="17">
        <f t="shared" si="67"/>
        <v>0</v>
      </c>
      <c r="K126" s="9">
        <f t="shared" si="69"/>
        <v>0</v>
      </c>
      <c r="L126" s="10">
        <f t="shared" si="68"/>
        <v>0</v>
      </c>
      <c r="M126" s="11">
        <f t="shared" si="70"/>
        <v>0</v>
      </c>
      <c r="N126" s="11">
        <f t="shared" si="71"/>
        <v>0</v>
      </c>
      <c r="O126" s="9"/>
      <c r="P126" s="9"/>
      <c r="Q126" s="9"/>
      <c r="R126" s="9"/>
      <c r="S126" s="9"/>
    </row>
    <row r="127" spans="3:19" ht="20.100000000000001" customHeight="1" x14ac:dyDescent="0.2">
      <c r="C127" s="9"/>
      <c r="D127" s="9"/>
      <c r="E127" s="9"/>
      <c r="F127" s="9"/>
      <c r="G127" s="9"/>
      <c r="H127" s="9"/>
      <c r="I127" s="9"/>
      <c r="J127" s="17">
        <f t="shared" ref="J127:J162" si="72">(G127*$I$2)+(H127*$I$3)</f>
        <v>0</v>
      </c>
      <c r="K127" s="9">
        <f t="shared" si="69"/>
        <v>0</v>
      </c>
      <c r="L127" s="10">
        <f t="shared" ref="L127:L162" si="73">J127+K127</f>
        <v>0</v>
      </c>
      <c r="M127" s="11">
        <f t="shared" si="70"/>
        <v>0</v>
      </c>
      <c r="N127" s="11">
        <f t="shared" si="71"/>
        <v>0</v>
      </c>
      <c r="O127" s="9"/>
      <c r="P127" s="9"/>
      <c r="Q127" s="9"/>
      <c r="R127" s="9"/>
      <c r="S127" s="9"/>
    </row>
    <row r="128" spans="3:19" ht="20.100000000000001" customHeight="1" x14ac:dyDescent="0.2">
      <c r="C128" s="9"/>
      <c r="D128" s="9"/>
      <c r="E128" s="9"/>
      <c r="F128" s="9"/>
      <c r="G128" s="9"/>
      <c r="H128" s="9"/>
      <c r="I128" s="9"/>
      <c r="J128" s="17">
        <f t="shared" si="72"/>
        <v>0</v>
      </c>
      <c r="K128" s="9">
        <f t="shared" si="69"/>
        <v>0</v>
      </c>
      <c r="L128" s="10">
        <f t="shared" si="73"/>
        <v>0</v>
      </c>
      <c r="M128" s="11">
        <f t="shared" si="70"/>
        <v>0</v>
      </c>
      <c r="N128" s="11">
        <f t="shared" si="71"/>
        <v>0</v>
      </c>
      <c r="O128" s="9"/>
      <c r="P128" s="9"/>
      <c r="Q128" s="9"/>
      <c r="R128" s="9"/>
      <c r="S128" s="9"/>
    </row>
    <row r="129" spans="3:19" ht="20.100000000000001" customHeight="1" x14ac:dyDescent="0.2">
      <c r="C129" s="9"/>
      <c r="D129" s="9"/>
      <c r="E129" s="9"/>
      <c r="F129" s="9"/>
      <c r="G129" s="9"/>
      <c r="H129" s="9"/>
      <c r="I129" s="9"/>
      <c r="J129" s="17">
        <f t="shared" si="72"/>
        <v>0</v>
      </c>
      <c r="K129" s="9">
        <f t="shared" si="69"/>
        <v>0</v>
      </c>
      <c r="L129" s="10">
        <f t="shared" si="73"/>
        <v>0</v>
      </c>
      <c r="M129" s="11">
        <f t="shared" si="70"/>
        <v>0</v>
      </c>
      <c r="N129" s="11">
        <f t="shared" si="71"/>
        <v>0</v>
      </c>
      <c r="O129" s="9"/>
      <c r="P129" s="9"/>
      <c r="Q129" s="9"/>
      <c r="R129" s="9"/>
      <c r="S129" s="9"/>
    </row>
    <row r="130" spans="3:19" ht="20.100000000000001" customHeight="1" x14ac:dyDescent="0.2">
      <c r="C130" s="9"/>
      <c r="D130" s="9"/>
      <c r="E130" s="9"/>
      <c r="F130" s="9"/>
      <c r="G130" s="9"/>
      <c r="H130" s="9"/>
      <c r="I130" s="9"/>
      <c r="J130" s="17">
        <f t="shared" si="72"/>
        <v>0</v>
      </c>
      <c r="K130" s="9">
        <f t="shared" si="69"/>
        <v>0</v>
      </c>
      <c r="L130" s="10">
        <f t="shared" si="73"/>
        <v>0</v>
      </c>
      <c r="M130" s="11">
        <f t="shared" si="70"/>
        <v>0</v>
      </c>
      <c r="N130" s="11">
        <f t="shared" si="71"/>
        <v>0</v>
      </c>
      <c r="O130" s="9"/>
      <c r="P130" s="9"/>
      <c r="Q130" s="9"/>
      <c r="R130" s="9"/>
      <c r="S130" s="9"/>
    </row>
    <row r="131" spans="3:19" ht="20.100000000000001" customHeight="1" x14ac:dyDescent="0.2">
      <c r="C131" s="9"/>
      <c r="D131" s="9"/>
      <c r="E131" s="9"/>
      <c r="F131" s="9"/>
      <c r="G131" s="9"/>
      <c r="H131" s="9"/>
      <c r="I131" s="9"/>
      <c r="J131" s="17">
        <f t="shared" si="72"/>
        <v>0</v>
      </c>
      <c r="K131" s="9">
        <f t="shared" si="69"/>
        <v>0</v>
      </c>
      <c r="L131" s="10">
        <f t="shared" si="73"/>
        <v>0</v>
      </c>
      <c r="M131" s="11">
        <f t="shared" si="70"/>
        <v>0</v>
      </c>
      <c r="N131" s="11">
        <f t="shared" si="71"/>
        <v>0</v>
      </c>
      <c r="O131" s="9"/>
      <c r="P131" s="9"/>
      <c r="Q131" s="9"/>
      <c r="R131" s="9"/>
      <c r="S131" s="9"/>
    </row>
    <row r="132" spans="3:19" ht="20.100000000000001" customHeight="1" x14ac:dyDescent="0.2">
      <c r="C132" s="9"/>
      <c r="D132" s="9"/>
      <c r="E132" s="9"/>
      <c r="F132" s="9"/>
      <c r="G132" s="9"/>
      <c r="H132" s="9"/>
      <c r="I132" s="9"/>
      <c r="J132" s="17">
        <f t="shared" si="72"/>
        <v>0</v>
      </c>
      <c r="K132" s="9">
        <f t="shared" si="69"/>
        <v>0</v>
      </c>
      <c r="L132" s="10">
        <f t="shared" si="73"/>
        <v>0</v>
      </c>
      <c r="M132" s="11">
        <f t="shared" si="70"/>
        <v>0</v>
      </c>
      <c r="N132" s="11">
        <f t="shared" si="71"/>
        <v>0</v>
      </c>
      <c r="O132" s="9"/>
      <c r="P132" s="9"/>
      <c r="Q132" s="9"/>
      <c r="R132" s="9"/>
      <c r="S132" s="9"/>
    </row>
    <row r="133" spans="3:19" ht="20.100000000000001" customHeight="1" x14ac:dyDescent="0.2">
      <c r="C133" s="9"/>
      <c r="D133" s="9"/>
      <c r="E133" s="9"/>
      <c r="F133" s="9"/>
      <c r="G133" s="9"/>
      <c r="H133" s="9"/>
      <c r="I133" s="9"/>
      <c r="J133" s="17">
        <f t="shared" si="72"/>
        <v>0</v>
      </c>
      <c r="K133" s="9">
        <f t="shared" si="69"/>
        <v>0</v>
      </c>
      <c r="L133" s="10">
        <f t="shared" si="73"/>
        <v>0</v>
      </c>
      <c r="M133" s="11">
        <f t="shared" si="70"/>
        <v>0</v>
      </c>
      <c r="N133" s="11">
        <f t="shared" si="71"/>
        <v>0</v>
      </c>
      <c r="O133" s="9"/>
      <c r="P133" s="9"/>
      <c r="Q133" s="9"/>
      <c r="R133" s="9"/>
      <c r="S133" s="9"/>
    </row>
    <row r="134" spans="3:19" ht="20.100000000000001" customHeight="1" x14ac:dyDescent="0.2">
      <c r="C134" s="9"/>
      <c r="D134" s="9"/>
      <c r="E134" s="9"/>
      <c r="F134" s="9"/>
      <c r="G134" s="9"/>
      <c r="H134" s="9"/>
      <c r="I134" s="9"/>
      <c r="J134" s="17">
        <f t="shared" si="72"/>
        <v>0</v>
      </c>
      <c r="K134" s="9">
        <f t="shared" si="69"/>
        <v>0</v>
      </c>
      <c r="L134" s="10">
        <f t="shared" si="73"/>
        <v>0</v>
      </c>
      <c r="M134" s="11">
        <f t="shared" si="70"/>
        <v>0</v>
      </c>
      <c r="N134" s="11">
        <f t="shared" si="71"/>
        <v>0</v>
      </c>
      <c r="O134" s="9"/>
      <c r="P134" s="9"/>
      <c r="Q134" s="9"/>
      <c r="R134" s="9"/>
      <c r="S134" s="9"/>
    </row>
    <row r="135" spans="3:19" ht="20.100000000000001" customHeight="1" x14ac:dyDescent="0.2">
      <c r="C135" s="9"/>
      <c r="D135" s="9"/>
      <c r="E135" s="9"/>
      <c r="F135" s="9"/>
      <c r="G135" s="9"/>
      <c r="H135" s="9"/>
      <c r="I135" s="9"/>
      <c r="J135" s="17">
        <f t="shared" si="72"/>
        <v>0</v>
      </c>
      <c r="K135" s="9">
        <f t="shared" si="69"/>
        <v>0</v>
      </c>
      <c r="L135" s="10">
        <f t="shared" si="73"/>
        <v>0</v>
      </c>
      <c r="M135" s="11">
        <f t="shared" si="70"/>
        <v>0</v>
      </c>
      <c r="N135" s="11">
        <f t="shared" si="71"/>
        <v>0</v>
      </c>
      <c r="O135" s="9"/>
      <c r="P135" s="9"/>
      <c r="Q135" s="9"/>
      <c r="R135" s="9"/>
      <c r="S135" s="9"/>
    </row>
    <row r="136" spans="3:19" ht="20.100000000000001" customHeight="1" x14ac:dyDescent="0.2">
      <c r="C136" s="9"/>
      <c r="D136" s="9"/>
      <c r="E136" s="9"/>
      <c r="F136" s="9"/>
      <c r="G136" s="9"/>
      <c r="H136" s="9"/>
      <c r="I136" s="9"/>
      <c r="J136" s="17">
        <f t="shared" si="72"/>
        <v>0</v>
      </c>
      <c r="K136" s="9">
        <f t="shared" si="69"/>
        <v>0</v>
      </c>
      <c r="L136" s="10">
        <f t="shared" si="73"/>
        <v>0</v>
      </c>
      <c r="M136" s="11">
        <f t="shared" si="70"/>
        <v>0</v>
      </c>
      <c r="N136" s="11">
        <f t="shared" si="71"/>
        <v>0</v>
      </c>
      <c r="O136" s="9"/>
      <c r="P136" s="9"/>
      <c r="Q136" s="9"/>
      <c r="R136" s="9"/>
      <c r="S136" s="9"/>
    </row>
    <row r="137" spans="3:19" ht="20.100000000000001" customHeight="1" x14ac:dyDescent="0.2">
      <c r="C137" s="9"/>
      <c r="D137" s="9"/>
      <c r="E137" s="9"/>
      <c r="F137" s="9"/>
      <c r="G137" s="9"/>
      <c r="H137" s="9"/>
      <c r="I137" s="9"/>
      <c r="J137" s="17">
        <f t="shared" si="72"/>
        <v>0</v>
      </c>
      <c r="K137" s="9">
        <f t="shared" si="69"/>
        <v>0</v>
      </c>
      <c r="L137" s="10">
        <f t="shared" si="73"/>
        <v>0</v>
      </c>
      <c r="M137" s="11">
        <f t="shared" si="70"/>
        <v>0</v>
      </c>
      <c r="N137" s="11">
        <f t="shared" si="71"/>
        <v>0</v>
      </c>
      <c r="O137" s="9"/>
      <c r="P137" s="9"/>
      <c r="Q137" s="9"/>
      <c r="R137" s="9"/>
      <c r="S137" s="9"/>
    </row>
    <row r="138" spans="3:19" ht="20.100000000000001" customHeight="1" x14ac:dyDescent="0.2">
      <c r="C138" s="9"/>
      <c r="D138" s="9"/>
      <c r="E138" s="9"/>
      <c r="F138" s="9"/>
      <c r="G138" s="9"/>
      <c r="H138" s="9"/>
      <c r="I138" s="9"/>
      <c r="J138" s="17">
        <f t="shared" si="72"/>
        <v>0</v>
      </c>
      <c r="K138" s="9">
        <f t="shared" si="69"/>
        <v>0</v>
      </c>
      <c r="L138" s="10">
        <f t="shared" si="73"/>
        <v>0</v>
      </c>
      <c r="M138" s="11">
        <f t="shared" si="70"/>
        <v>0</v>
      </c>
      <c r="N138" s="11">
        <f t="shared" si="71"/>
        <v>0</v>
      </c>
      <c r="O138" s="9"/>
      <c r="P138" s="9"/>
      <c r="Q138" s="9"/>
      <c r="R138" s="9"/>
      <c r="S138" s="9"/>
    </row>
    <row r="139" spans="3:19" ht="20.100000000000001" customHeight="1" x14ac:dyDescent="0.2">
      <c r="C139" s="9"/>
      <c r="D139" s="9"/>
      <c r="E139" s="9"/>
      <c r="F139" s="9"/>
      <c r="G139" s="9"/>
      <c r="H139" s="9"/>
      <c r="I139" s="9"/>
      <c r="J139" s="17">
        <f t="shared" si="72"/>
        <v>0</v>
      </c>
      <c r="K139" s="9">
        <f t="shared" si="69"/>
        <v>0</v>
      </c>
      <c r="L139" s="10">
        <f t="shared" si="73"/>
        <v>0</v>
      </c>
      <c r="M139" s="11">
        <f t="shared" si="70"/>
        <v>0</v>
      </c>
      <c r="N139" s="11">
        <f t="shared" si="71"/>
        <v>0</v>
      </c>
      <c r="O139" s="9"/>
      <c r="P139" s="9"/>
      <c r="Q139" s="9"/>
      <c r="R139" s="9"/>
      <c r="S139" s="9"/>
    </row>
    <row r="140" spans="3:19" ht="20.100000000000001" customHeight="1" x14ac:dyDescent="0.2">
      <c r="C140" s="9"/>
      <c r="D140" s="9"/>
      <c r="E140" s="9"/>
      <c r="F140" s="9"/>
      <c r="G140" s="9"/>
      <c r="H140" s="9"/>
      <c r="I140" s="9"/>
      <c r="J140" s="17">
        <f t="shared" si="72"/>
        <v>0</v>
      </c>
      <c r="K140" s="9">
        <f t="shared" si="69"/>
        <v>0</v>
      </c>
      <c r="L140" s="10">
        <f t="shared" si="73"/>
        <v>0</v>
      </c>
      <c r="M140" s="11">
        <f t="shared" si="70"/>
        <v>0</v>
      </c>
      <c r="N140" s="11">
        <f t="shared" si="71"/>
        <v>0</v>
      </c>
      <c r="O140" s="9"/>
      <c r="P140" s="9"/>
      <c r="Q140" s="9"/>
      <c r="R140" s="9"/>
      <c r="S140" s="9"/>
    </row>
    <row r="141" spans="3:19" ht="20.100000000000001" customHeight="1" x14ac:dyDescent="0.2">
      <c r="C141" s="9"/>
      <c r="D141" s="9"/>
      <c r="E141" s="9"/>
      <c r="F141" s="9"/>
      <c r="G141" s="9"/>
      <c r="H141" s="9"/>
      <c r="I141" s="9"/>
      <c r="J141" s="17">
        <f t="shared" si="72"/>
        <v>0</v>
      </c>
      <c r="K141" s="9">
        <f t="shared" si="69"/>
        <v>0</v>
      </c>
      <c r="L141" s="10">
        <f t="shared" si="73"/>
        <v>0</v>
      </c>
      <c r="M141" s="11">
        <f t="shared" si="70"/>
        <v>0</v>
      </c>
      <c r="N141" s="11">
        <f t="shared" si="71"/>
        <v>0</v>
      </c>
      <c r="O141" s="9"/>
      <c r="P141" s="9"/>
      <c r="Q141" s="9"/>
      <c r="R141" s="9"/>
      <c r="S141" s="9"/>
    </row>
    <row r="142" spans="3:19" ht="20.100000000000001" customHeight="1" x14ac:dyDescent="0.2">
      <c r="C142" s="9"/>
      <c r="D142" s="9"/>
      <c r="E142" s="9"/>
      <c r="F142" s="9"/>
      <c r="G142" s="9"/>
      <c r="H142" s="9"/>
      <c r="I142" s="9"/>
      <c r="J142" s="17">
        <f t="shared" si="72"/>
        <v>0</v>
      </c>
      <c r="K142" s="9">
        <f t="shared" si="69"/>
        <v>0</v>
      </c>
      <c r="L142" s="10">
        <f t="shared" si="73"/>
        <v>0</v>
      </c>
      <c r="M142" s="11">
        <f t="shared" si="70"/>
        <v>0</v>
      </c>
      <c r="N142" s="11">
        <f t="shared" si="71"/>
        <v>0</v>
      </c>
      <c r="O142" s="9"/>
      <c r="P142" s="9"/>
      <c r="Q142" s="9"/>
      <c r="R142" s="9"/>
      <c r="S142" s="9"/>
    </row>
    <row r="143" spans="3:19" ht="20.100000000000001" customHeight="1" x14ac:dyDescent="0.2">
      <c r="C143" s="9"/>
      <c r="D143" s="9"/>
      <c r="E143" s="9"/>
      <c r="F143" s="9"/>
      <c r="G143" s="9"/>
      <c r="H143" s="9"/>
      <c r="I143" s="9"/>
      <c r="J143" s="17">
        <f t="shared" si="72"/>
        <v>0</v>
      </c>
      <c r="K143" s="9">
        <f t="shared" si="69"/>
        <v>0</v>
      </c>
      <c r="L143" s="10">
        <f t="shared" si="73"/>
        <v>0</v>
      </c>
      <c r="M143" s="11">
        <f t="shared" si="70"/>
        <v>0</v>
      </c>
      <c r="N143" s="11">
        <f t="shared" si="71"/>
        <v>0</v>
      </c>
      <c r="O143" s="9"/>
      <c r="P143" s="9"/>
      <c r="Q143" s="9"/>
      <c r="R143" s="9"/>
      <c r="S143" s="9"/>
    </row>
    <row r="144" spans="3:19" ht="20.100000000000001" customHeight="1" x14ac:dyDescent="0.2">
      <c r="C144" s="9"/>
      <c r="D144" s="9"/>
      <c r="E144" s="9"/>
      <c r="F144" s="9"/>
      <c r="G144" s="9"/>
      <c r="H144" s="9"/>
      <c r="I144" s="9"/>
      <c r="J144" s="17">
        <f t="shared" si="72"/>
        <v>0</v>
      </c>
      <c r="K144" s="9">
        <f t="shared" si="69"/>
        <v>0</v>
      </c>
      <c r="L144" s="10">
        <f t="shared" si="73"/>
        <v>0</v>
      </c>
      <c r="M144" s="11">
        <f t="shared" si="70"/>
        <v>0</v>
      </c>
      <c r="N144" s="11">
        <f t="shared" si="71"/>
        <v>0</v>
      </c>
      <c r="O144" s="9"/>
      <c r="P144" s="9"/>
      <c r="Q144" s="9"/>
      <c r="R144" s="9"/>
      <c r="S144" s="9"/>
    </row>
    <row r="145" spans="3:19" ht="20.100000000000001" customHeight="1" x14ac:dyDescent="0.2">
      <c r="C145" s="9"/>
      <c r="D145" s="9"/>
      <c r="E145" s="9"/>
      <c r="F145" s="9"/>
      <c r="G145" s="9"/>
      <c r="H145" s="9"/>
      <c r="I145" s="9"/>
      <c r="J145" s="17">
        <f t="shared" si="72"/>
        <v>0</v>
      </c>
      <c r="K145" s="9">
        <f t="shared" si="69"/>
        <v>0</v>
      </c>
      <c r="L145" s="10">
        <f t="shared" si="73"/>
        <v>0</v>
      </c>
      <c r="M145" s="11">
        <f t="shared" si="70"/>
        <v>0</v>
      </c>
      <c r="N145" s="11">
        <f t="shared" si="71"/>
        <v>0</v>
      </c>
      <c r="O145" s="9"/>
      <c r="P145" s="9"/>
      <c r="Q145" s="9"/>
      <c r="R145" s="9"/>
      <c r="S145" s="9"/>
    </row>
    <row r="146" spans="3:19" ht="20.100000000000001" customHeight="1" x14ac:dyDescent="0.2">
      <c r="C146" s="9"/>
      <c r="D146" s="9"/>
      <c r="E146" s="9"/>
      <c r="F146" s="9"/>
      <c r="G146" s="9"/>
      <c r="H146" s="9"/>
      <c r="I146" s="9"/>
      <c r="J146" s="17">
        <f t="shared" si="72"/>
        <v>0</v>
      </c>
      <c r="K146" s="9">
        <f t="shared" si="69"/>
        <v>0</v>
      </c>
      <c r="L146" s="10">
        <f t="shared" si="73"/>
        <v>0</v>
      </c>
      <c r="M146" s="11">
        <f t="shared" si="70"/>
        <v>0</v>
      </c>
      <c r="N146" s="11">
        <f t="shared" si="71"/>
        <v>0</v>
      </c>
      <c r="O146" s="9"/>
      <c r="P146" s="9"/>
      <c r="Q146" s="9"/>
      <c r="R146" s="9"/>
      <c r="S146" s="9"/>
    </row>
    <row r="147" spans="3:19" ht="20.100000000000001" customHeight="1" x14ac:dyDescent="0.2">
      <c r="C147" s="9"/>
      <c r="D147" s="9"/>
      <c r="E147" s="9"/>
      <c r="F147" s="9"/>
      <c r="G147" s="9"/>
      <c r="H147" s="9"/>
      <c r="I147" s="9"/>
      <c r="J147" s="17">
        <f t="shared" si="72"/>
        <v>0</v>
      </c>
      <c r="K147" s="9">
        <f t="shared" si="69"/>
        <v>0</v>
      </c>
      <c r="L147" s="10">
        <f t="shared" si="73"/>
        <v>0</v>
      </c>
      <c r="M147" s="11">
        <f t="shared" si="70"/>
        <v>0</v>
      </c>
      <c r="N147" s="11">
        <f t="shared" si="71"/>
        <v>0</v>
      </c>
      <c r="O147" s="9"/>
      <c r="P147" s="9"/>
      <c r="Q147" s="9"/>
      <c r="R147" s="9"/>
      <c r="S147" s="9"/>
    </row>
    <row r="148" spans="3:19" ht="20.100000000000001" customHeight="1" x14ac:dyDescent="0.2">
      <c r="C148" s="9"/>
      <c r="D148" s="9"/>
      <c r="E148" s="9"/>
      <c r="F148" s="9"/>
      <c r="G148" s="9"/>
      <c r="H148" s="9"/>
      <c r="I148" s="9"/>
      <c r="J148" s="17">
        <f t="shared" si="72"/>
        <v>0</v>
      </c>
      <c r="K148" s="9">
        <f t="shared" si="69"/>
        <v>0</v>
      </c>
      <c r="L148" s="10">
        <f t="shared" si="73"/>
        <v>0</v>
      </c>
      <c r="M148" s="11">
        <f t="shared" si="70"/>
        <v>0</v>
      </c>
      <c r="N148" s="11">
        <f t="shared" si="71"/>
        <v>0</v>
      </c>
      <c r="O148" s="9"/>
      <c r="P148" s="9"/>
      <c r="Q148" s="9"/>
      <c r="R148" s="9"/>
      <c r="S148" s="9"/>
    </row>
    <row r="149" spans="3:19" ht="20.100000000000001" customHeight="1" x14ac:dyDescent="0.2">
      <c r="C149" s="9"/>
      <c r="D149" s="9"/>
      <c r="E149" s="9"/>
      <c r="F149" s="9"/>
      <c r="G149" s="9"/>
      <c r="H149" s="9"/>
      <c r="I149" s="9"/>
      <c r="J149" s="17">
        <f t="shared" si="72"/>
        <v>0</v>
      </c>
      <c r="K149" s="9">
        <f t="shared" si="69"/>
        <v>0</v>
      </c>
      <c r="L149" s="10">
        <f t="shared" si="73"/>
        <v>0</v>
      </c>
      <c r="M149" s="11">
        <f t="shared" si="70"/>
        <v>0</v>
      </c>
      <c r="N149" s="11">
        <f t="shared" si="71"/>
        <v>0</v>
      </c>
      <c r="O149" s="9"/>
      <c r="P149" s="9"/>
      <c r="Q149" s="9"/>
      <c r="R149" s="9"/>
      <c r="S149" s="9"/>
    </row>
    <row r="150" spans="3:19" ht="20.100000000000001" customHeight="1" x14ac:dyDescent="0.2">
      <c r="C150" s="9"/>
      <c r="D150" s="9"/>
      <c r="E150" s="9"/>
      <c r="F150" s="9"/>
      <c r="G150" s="9"/>
      <c r="H150" s="9"/>
      <c r="I150" s="9"/>
      <c r="J150" s="17">
        <f t="shared" si="72"/>
        <v>0</v>
      </c>
      <c r="K150" s="9">
        <f t="shared" si="69"/>
        <v>0</v>
      </c>
      <c r="L150" s="10">
        <f t="shared" si="73"/>
        <v>0</v>
      </c>
      <c r="M150" s="11">
        <f t="shared" si="70"/>
        <v>0</v>
      </c>
      <c r="N150" s="11">
        <f t="shared" si="71"/>
        <v>0</v>
      </c>
      <c r="O150" s="9"/>
      <c r="P150" s="9"/>
      <c r="Q150" s="9"/>
      <c r="R150" s="9"/>
      <c r="S150" s="9"/>
    </row>
    <row r="151" spans="3:19" ht="20.100000000000001" customHeight="1" x14ac:dyDescent="0.2">
      <c r="C151" s="9"/>
      <c r="D151" s="9"/>
      <c r="E151" s="9"/>
      <c r="F151" s="9"/>
      <c r="G151" s="9"/>
      <c r="H151" s="9"/>
      <c r="I151" s="9"/>
      <c r="J151" s="17">
        <f t="shared" si="72"/>
        <v>0</v>
      </c>
      <c r="K151" s="9">
        <f t="shared" si="69"/>
        <v>0</v>
      </c>
      <c r="L151" s="10">
        <f t="shared" si="73"/>
        <v>0</v>
      </c>
      <c r="M151" s="11">
        <f t="shared" si="70"/>
        <v>0</v>
      </c>
      <c r="N151" s="11">
        <f t="shared" si="71"/>
        <v>0</v>
      </c>
      <c r="O151" s="9"/>
      <c r="P151" s="9"/>
      <c r="Q151" s="9"/>
      <c r="R151" s="9"/>
      <c r="S151" s="9"/>
    </row>
    <row r="152" spans="3:19" ht="20.100000000000001" customHeight="1" x14ac:dyDescent="0.2">
      <c r="C152" s="9"/>
      <c r="D152" s="9"/>
      <c r="E152" s="9"/>
      <c r="F152" s="9"/>
      <c r="G152" s="9"/>
      <c r="H152" s="9"/>
      <c r="I152" s="9"/>
      <c r="J152" s="17">
        <f t="shared" si="72"/>
        <v>0</v>
      </c>
      <c r="K152" s="9">
        <f t="shared" si="69"/>
        <v>0</v>
      </c>
      <c r="L152" s="10">
        <f t="shared" si="73"/>
        <v>0</v>
      </c>
      <c r="M152" s="11">
        <f t="shared" si="70"/>
        <v>0</v>
      </c>
      <c r="N152" s="11">
        <f t="shared" si="71"/>
        <v>0</v>
      </c>
      <c r="O152" s="9"/>
      <c r="P152" s="9"/>
      <c r="Q152" s="9"/>
      <c r="R152" s="9"/>
      <c r="S152" s="9"/>
    </row>
    <row r="153" spans="3:19" ht="20.100000000000001" customHeight="1" x14ac:dyDescent="0.2">
      <c r="C153" s="9"/>
      <c r="D153" s="9"/>
      <c r="E153" s="9"/>
      <c r="F153" s="9"/>
      <c r="G153" s="9"/>
      <c r="H153" s="9"/>
      <c r="I153" s="9"/>
      <c r="J153" s="17">
        <f t="shared" si="72"/>
        <v>0</v>
      </c>
      <c r="K153" s="9">
        <f t="shared" si="69"/>
        <v>0</v>
      </c>
      <c r="L153" s="10">
        <f t="shared" si="73"/>
        <v>0</v>
      </c>
      <c r="M153" s="11">
        <f t="shared" si="70"/>
        <v>0</v>
      </c>
      <c r="N153" s="11">
        <f t="shared" si="71"/>
        <v>0</v>
      </c>
      <c r="O153" s="9"/>
      <c r="P153" s="9"/>
      <c r="Q153" s="9"/>
      <c r="R153" s="9"/>
      <c r="S153" s="9"/>
    </row>
    <row r="154" spans="3:19" ht="20.100000000000001" customHeight="1" x14ac:dyDescent="0.2">
      <c r="C154" s="9"/>
      <c r="D154" s="9"/>
      <c r="E154" s="9"/>
      <c r="F154" s="9"/>
      <c r="G154" s="9"/>
      <c r="H154" s="9"/>
      <c r="I154" s="9"/>
      <c r="J154" s="17">
        <f t="shared" si="72"/>
        <v>0</v>
      </c>
      <c r="K154" s="9">
        <f t="shared" si="69"/>
        <v>0</v>
      </c>
      <c r="L154" s="10">
        <f t="shared" si="73"/>
        <v>0</v>
      </c>
      <c r="M154" s="11">
        <f t="shared" si="70"/>
        <v>0</v>
      </c>
      <c r="N154" s="11">
        <f t="shared" si="71"/>
        <v>0</v>
      </c>
      <c r="O154" s="9"/>
      <c r="P154" s="9"/>
      <c r="Q154" s="9"/>
      <c r="R154" s="9"/>
      <c r="S154" s="9"/>
    </row>
    <row r="155" spans="3:19" ht="20.100000000000001" customHeight="1" x14ac:dyDescent="0.2">
      <c r="C155" s="9"/>
      <c r="D155" s="9"/>
      <c r="E155" s="9"/>
      <c r="F155" s="9"/>
      <c r="G155" s="9"/>
      <c r="H155" s="9"/>
      <c r="I155" s="9"/>
      <c r="J155" s="17">
        <f t="shared" si="72"/>
        <v>0</v>
      </c>
      <c r="K155" s="9">
        <f t="shared" si="69"/>
        <v>0</v>
      </c>
      <c r="L155" s="10">
        <f t="shared" si="73"/>
        <v>0</v>
      </c>
      <c r="M155" s="11">
        <f t="shared" si="70"/>
        <v>0</v>
      </c>
      <c r="N155" s="11">
        <f t="shared" si="71"/>
        <v>0</v>
      </c>
      <c r="O155" s="9"/>
      <c r="P155" s="9"/>
      <c r="Q155" s="9"/>
      <c r="R155" s="9"/>
      <c r="S155" s="9"/>
    </row>
    <row r="156" spans="3:19" ht="20.100000000000001" customHeight="1" x14ac:dyDescent="0.2">
      <c r="C156" s="9"/>
      <c r="D156" s="9"/>
      <c r="E156" s="9"/>
      <c r="F156" s="9"/>
      <c r="G156" s="9"/>
      <c r="H156" s="9"/>
      <c r="I156" s="9"/>
      <c r="J156" s="17">
        <f t="shared" si="72"/>
        <v>0</v>
      </c>
      <c r="K156" s="9">
        <f t="shared" si="69"/>
        <v>0</v>
      </c>
      <c r="L156" s="10">
        <f t="shared" si="73"/>
        <v>0</v>
      </c>
      <c r="M156" s="11">
        <f t="shared" si="70"/>
        <v>0</v>
      </c>
      <c r="N156" s="11">
        <f t="shared" si="71"/>
        <v>0</v>
      </c>
      <c r="O156" s="9"/>
      <c r="P156" s="9"/>
      <c r="Q156" s="9"/>
      <c r="R156" s="9"/>
      <c r="S156" s="9"/>
    </row>
    <row r="157" spans="3:19" ht="20.100000000000001" customHeight="1" x14ac:dyDescent="0.2">
      <c r="C157" s="9"/>
      <c r="D157" s="9"/>
      <c r="E157" s="9"/>
      <c r="F157" s="9"/>
      <c r="G157" s="9"/>
      <c r="H157" s="9"/>
      <c r="I157" s="9"/>
      <c r="J157" s="17">
        <f t="shared" si="72"/>
        <v>0</v>
      </c>
      <c r="K157" s="9">
        <f t="shared" si="69"/>
        <v>0</v>
      </c>
      <c r="L157" s="10">
        <f t="shared" si="73"/>
        <v>0</v>
      </c>
      <c r="M157" s="11">
        <f t="shared" si="70"/>
        <v>0</v>
      </c>
      <c r="N157" s="11">
        <f t="shared" si="71"/>
        <v>0</v>
      </c>
      <c r="O157" s="9"/>
      <c r="P157" s="9"/>
      <c r="Q157" s="9"/>
      <c r="R157" s="9"/>
      <c r="S157" s="9"/>
    </row>
    <row r="158" spans="3:19" ht="20.100000000000001" customHeight="1" x14ac:dyDescent="0.2">
      <c r="C158" s="9"/>
      <c r="D158" s="9"/>
      <c r="E158" s="9"/>
      <c r="F158" s="9"/>
      <c r="G158" s="9"/>
      <c r="H158" s="9"/>
      <c r="I158" s="9"/>
      <c r="J158" s="17">
        <f t="shared" si="72"/>
        <v>0</v>
      </c>
      <c r="K158" s="9">
        <f t="shared" si="69"/>
        <v>0</v>
      </c>
      <c r="L158" s="10">
        <f t="shared" si="73"/>
        <v>0</v>
      </c>
      <c r="M158" s="11">
        <f t="shared" si="70"/>
        <v>0</v>
      </c>
      <c r="N158" s="11">
        <f t="shared" si="71"/>
        <v>0</v>
      </c>
      <c r="O158" s="9"/>
      <c r="P158" s="9"/>
      <c r="Q158" s="9"/>
      <c r="R158" s="9"/>
      <c r="S158" s="9"/>
    </row>
    <row r="159" spans="3:19" ht="20.100000000000001" customHeight="1" x14ac:dyDescent="0.2">
      <c r="C159" s="9"/>
      <c r="D159" s="9"/>
      <c r="E159" s="9"/>
      <c r="F159" s="9"/>
      <c r="G159" s="9"/>
      <c r="H159" s="9"/>
      <c r="I159" s="9"/>
      <c r="J159" s="17">
        <f t="shared" si="72"/>
        <v>0</v>
      </c>
      <c r="K159" s="9">
        <f t="shared" si="69"/>
        <v>0</v>
      </c>
      <c r="L159" s="10">
        <f t="shared" si="73"/>
        <v>0</v>
      </c>
      <c r="M159" s="11">
        <f t="shared" si="70"/>
        <v>0</v>
      </c>
      <c r="N159" s="11">
        <f t="shared" si="71"/>
        <v>0</v>
      </c>
      <c r="O159" s="9"/>
      <c r="P159" s="9"/>
      <c r="Q159" s="9"/>
      <c r="R159" s="9"/>
      <c r="S159" s="9"/>
    </row>
    <row r="160" spans="3:19" ht="20.100000000000001" customHeight="1" x14ac:dyDescent="0.2">
      <c r="C160" s="9"/>
      <c r="D160" s="9"/>
      <c r="E160" s="9"/>
      <c r="F160" s="9"/>
      <c r="G160" s="9"/>
      <c r="H160" s="9"/>
      <c r="I160" s="9"/>
      <c r="J160" s="17">
        <f t="shared" si="72"/>
        <v>0</v>
      </c>
      <c r="K160" s="9">
        <f t="shared" si="69"/>
        <v>0</v>
      </c>
      <c r="L160" s="10">
        <f t="shared" si="73"/>
        <v>0</v>
      </c>
      <c r="M160" s="11">
        <f t="shared" si="70"/>
        <v>0</v>
      </c>
      <c r="N160" s="11">
        <f t="shared" si="71"/>
        <v>0</v>
      </c>
      <c r="O160" s="9"/>
      <c r="P160" s="9"/>
      <c r="Q160" s="9"/>
      <c r="R160" s="9"/>
      <c r="S160" s="9"/>
    </row>
    <row r="161" spans="3:19" ht="20.100000000000001" customHeight="1" x14ac:dyDescent="0.2">
      <c r="C161" s="9"/>
      <c r="D161" s="9"/>
      <c r="E161" s="9"/>
      <c r="F161" s="9"/>
      <c r="G161" s="9"/>
      <c r="H161" s="9"/>
      <c r="I161" s="9"/>
      <c r="J161" s="17">
        <f t="shared" si="72"/>
        <v>0</v>
      </c>
      <c r="K161" s="9">
        <f t="shared" si="69"/>
        <v>0</v>
      </c>
      <c r="L161" s="10">
        <f t="shared" si="73"/>
        <v>0</v>
      </c>
      <c r="M161" s="11">
        <f t="shared" si="70"/>
        <v>0</v>
      </c>
      <c r="N161" s="11">
        <f t="shared" si="71"/>
        <v>0</v>
      </c>
      <c r="O161" s="9"/>
      <c r="P161" s="9"/>
      <c r="Q161" s="9"/>
      <c r="R161" s="9"/>
      <c r="S161" s="9"/>
    </row>
    <row r="162" spans="3:19" ht="20.100000000000001" customHeight="1" x14ac:dyDescent="0.2">
      <c r="C162" s="9"/>
      <c r="D162" s="9"/>
      <c r="E162" s="9"/>
      <c r="F162" s="9"/>
      <c r="G162" s="9"/>
      <c r="H162" s="9"/>
      <c r="I162" s="9"/>
      <c r="J162" s="17">
        <f t="shared" si="72"/>
        <v>0</v>
      </c>
      <c r="K162" s="9">
        <f t="shared" si="69"/>
        <v>0</v>
      </c>
      <c r="L162" s="10">
        <f t="shared" si="73"/>
        <v>0</v>
      </c>
      <c r="M162" s="11">
        <f t="shared" si="70"/>
        <v>0</v>
      </c>
      <c r="N162" s="11">
        <f t="shared" si="71"/>
        <v>0</v>
      </c>
      <c r="O162" s="9"/>
      <c r="P162" s="9"/>
      <c r="Q162" s="9"/>
      <c r="R162" s="9"/>
      <c r="S162" s="9"/>
    </row>
  </sheetData>
  <mergeCells count="3">
    <mergeCell ref="U1:V1"/>
    <mergeCell ref="U2:X2"/>
    <mergeCell ref="U3:X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workbookViewId="0">
      <selection sqref="A1:J7"/>
    </sheetView>
  </sheetViews>
  <sheetFormatPr defaultColWidth="9" defaultRowHeight="14.25" x14ac:dyDescent="0.2"/>
  <cols>
    <col min="1" max="1" width="23.875" customWidth="1"/>
    <col min="2" max="2" width="19" customWidth="1"/>
    <col min="8" max="8" width="19" customWidth="1"/>
    <col min="9" max="9" width="21.25" customWidth="1"/>
  </cols>
  <sheetData>
    <row r="1" spans="1:21" s="3" customFormat="1" ht="20.100000000000001" customHeight="1" x14ac:dyDescent="0.2">
      <c r="A1" s="4" t="s">
        <v>38</v>
      </c>
      <c r="B1" s="4" t="s">
        <v>39</v>
      </c>
      <c r="C1" s="5" t="s">
        <v>41</v>
      </c>
      <c r="D1" s="6" t="s">
        <v>42</v>
      </c>
      <c r="E1" s="7" t="s">
        <v>43</v>
      </c>
      <c r="F1" s="8" t="s">
        <v>45</v>
      </c>
      <c r="G1" s="8" t="s">
        <v>46</v>
      </c>
      <c r="H1" s="4" t="s">
        <v>47</v>
      </c>
      <c r="I1" s="4" t="s">
        <v>48</v>
      </c>
      <c r="J1" s="4" t="s">
        <v>49</v>
      </c>
      <c r="K1" s="24" t="s">
        <v>341</v>
      </c>
    </row>
    <row r="2" spans="1:21" s="3" customFormat="1" ht="20.100000000000001" customHeight="1" x14ac:dyDescent="0.2">
      <c r="A2" s="5" t="s">
        <v>327</v>
      </c>
      <c r="B2" s="25" t="s">
        <v>328</v>
      </c>
      <c r="C2" s="5">
        <v>7</v>
      </c>
      <c r="D2" s="5">
        <v>8</v>
      </c>
      <c r="E2" s="5">
        <v>2.9</v>
      </c>
      <c r="F2" s="9">
        <v>2</v>
      </c>
      <c r="G2" s="9">
        <v>4</v>
      </c>
      <c r="H2" s="23" t="s">
        <v>330</v>
      </c>
      <c r="I2" s="23" t="s">
        <v>331</v>
      </c>
      <c r="J2" s="9"/>
      <c r="K2" s="9"/>
      <c r="L2" s="10"/>
      <c r="M2" s="11"/>
      <c r="N2" s="11"/>
      <c r="U2" s="24"/>
    </row>
    <row r="3" spans="1:21" s="3" customFormat="1" ht="20.100000000000001" customHeight="1" x14ac:dyDescent="0.2">
      <c r="A3" s="5" t="s">
        <v>346</v>
      </c>
      <c r="B3" s="25" t="s">
        <v>347</v>
      </c>
      <c r="C3" s="5">
        <v>13</v>
      </c>
      <c r="D3" s="5">
        <v>7</v>
      </c>
      <c r="E3" s="5">
        <v>8</v>
      </c>
      <c r="F3" s="9">
        <v>3</v>
      </c>
      <c r="G3" s="9">
        <v>5</v>
      </c>
      <c r="H3" s="9" t="s">
        <v>210</v>
      </c>
      <c r="I3" s="23"/>
      <c r="J3" s="9"/>
      <c r="K3" s="9"/>
      <c r="L3" s="10"/>
      <c r="M3" s="11"/>
      <c r="N3" s="11"/>
      <c r="U3" s="24"/>
    </row>
    <row r="4" spans="1:21" s="3" customFormat="1" ht="20.100000000000001" customHeight="1" x14ac:dyDescent="0.2">
      <c r="A4" s="5" t="s">
        <v>348</v>
      </c>
      <c r="B4" s="25" t="s">
        <v>349</v>
      </c>
      <c r="C4" s="5">
        <v>9</v>
      </c>
      <c r="D4" s="5">
        <v>18</v>
      </c>
      <c r="E4" s="5">
        <v>9</v>
      </c>
      <c r="F4" s="9">
        <v>3</v>
      </c>
      <c r="G4" s="9">
        <v>5</v>
      </c>
      <c r="H4" s="23" t="s">
        <v>355</v>
      </c>
      <c r="I4" s="23"/>
      <c r="J4" s="9"/>
      <c r="K4" s="9"/>
      <c r="L4" s="10"/>
      <c r="M4" s="11"/>
      <c r="N4" s="11"/>
      <c r="U4" s="24"/>
    </row>
    <row r="5" spans="1:21" s="3" customFormat="1" ht="20.100000000000001" customHeight="1" x14ac:dyDescent="0.2">
      <c r="A5" s="12" t="s">
        <v>350</v>
      </c>
      <c r="B5" s="26" t="s">
        <v>351</v>
      </c>
      <c r="C5" s="12">
        <v>21</v>
      </c>
      <c r="D5" s="12">
        <v>0</v>
      </c>
      <c r="E5" s="12">
        <v>10</v>
      </c>
      <c r="F5" s="9">
        <v>3</v>
      </c>
      <c r="G5" s="9">
        <v>6</v>
      </c>
      <c r="H5" s="23" t="s">
        <v>356</v>
      </c>
      <c r="I5" s="23"/>
      <c r="J5" s="9"/>
      <c r="K5" s="9"/>
      <c r="L5" s="10"/>
      <c r="M5" s="11"/>
      <c r="N5" s="11"/>
      <c r="U5" s="24"/>
    </row>
    <row r="6" spans="1:21" s="3" customFormat="1" ht="20.100000000000001" customHeight="1" x14ac:dyDescent="0.2">
      <c r="A6" s="5" t="s">
        <v>352</v>
      </c>
      <c r="B6" s="25" t="s">
        <v>353</v>
      </c>
      <c r="C6" s="5">
        <v>10</v>
      </c>
      <c r="D6" s="5">
        <v>1</v>
      </c>
      <c r="E6" s="5">
        <v>10</v>
      </c>
      <c r="F6" s="9">
        <v>4</v>
      </c>
      <c r="G6" s="9">
        <v>6</v>
      </c>
      <c r="H6" s="23" t="s">
        <v>357</v>
      </c>
      <c r="I6" s="23"/>
      <c r="J6" s="9"/>
      <c r="K6" s="9"/>
      <c r="L6" s="10"/>
      <c r="M6" s="11"/>
      <c r="N6" s="11"/>
      <c r="U6" s="24"/>
    </row>
    <row r="7" spans="1:21" s="3" customFormat="1" ht="20.100000000000001" customHeight="1" x14ac:dyDescent="0.2">
      <c r="A7" s="12" t="s">
        <v>343</v>
      </c>
      <c r="B7" s="26" t="s">
        <v>344</v>
      </c>
      <c r="C7" s="12">
        <v>14</v>
      </c>
      <c r="D7" s="12">
        <v>37</v>
      </c>
      <c r="E7" s="12">
        <v>11</v>
      </c>
      <c r="F7" s="9">
        <v>4</v>
      </c>
      <c r="G7" s="9">
        <v>4</v>
      </c>
      <c r="H7" s="23" t="s">
        <v>345</v>
      </c>
      <c r="I7" s="23"/>
      <c r="J7" s="23"/>
      <c r="K7" s="9"/>
      <c r="L7" s="10"/>
      <c r="M7" s="11"/>
      <c r="N7" s="11"/>
      <c r="U7" s="24"/>
    </row>
    <row r="8" spans="1:21" s="3" customFormat="1" ht="20.100000000000001" customHeight="1" x14ac:dyDescent="0.2">
      <c r="A8" s="12"/>
      <c r="B8" s="12"/>
      <c r="C8" s="12"/>
      <c r="D8" s="12"/>
      <c r="E8" s="12"/>
      <c r="F8" s="9"/>
      <c r="G8" s="9"/>
      <c r="H8" s="23"/>
      <c r="I8" s="9"/>
      <c r="J8" s="9"/>
      <c r="K8" s="11"/>
      <c r="L8" s="11"/>
    </row>
    <row r="9" spans="1:21" s="3" customFormat="1" ht="20.100000000000001" customHeight="1" x14ac:dyDescent="0.2">
      <c r="A9" s="12"/>
      <c r="B9" s="12"/>
      <c r="C9" s="12"/>
      <c r="D9" s="12"/>
      <c r="E9" s="12"/>
      <c r="F9" s="9"/>
      <c r="G9" s="9"/>
      <c r="H9" s="23"/>
      <c r="I9" s="23"/>
      <c r="J9" s="23"/>
      <c r="K9" s="11"/>
      <c r="L9" s="11"/>
    </row>
    <row r="10" spans="1:21" s="3" customFormat="1" ht="20.100000000000001" customHeight="1" x14ac:dyDescent="0.2">
      <c r="A10" s="5"/>
      <c r="B10" s="5"/>
      <c r="C10" s="5"/>
      <c r="D10" s="5"/>
      <c r="E10" s="5"/>
      <c r="F10" s="9"/>
      <c r="G10" s="9"/>
      <c r="H10" s="9"/>
      <c r="I10" s="9"/>
      <c r="J10" s="9"/>
      <c r="K10" s="11"/>
      <c r="L10" s="11"/>
    </row>
    <row r="11" spans="1:21" s="3" customFormat="1" ht="20.100000000000001" customHeight="1" x14ac:dyDescent="0.2">
      <c r="A11" s="5"/>
      <c r="B11" s="5"/>
      <c r="C11" s="5"/>
      <c r="D11" s="5"/>
      <c r="E11" s="5"/>
      <c r="F11" s="9"/>
      <c r="G11" s="9"/>
      <c r="H11" s="9"/>
      <c r="I11" s="9"/>
      <c r="J11" s="9"/>
      <c r="K11" s="11"/>
      <c r="L11" s="11"/>
    </row>
    <row r="12" spans="1:21" s="3" customFormat="1" ht="20.100000000000001" customHeight="1" x14ac:dyDescent="0.2">
      <c r="A12" s="12"/>
      <c r="B12" s="12"/>
      <c r="C12" s="12"/>
      <c r="D12" s="12"/>
      <c r="E12" s="12"/>
      <c r="F12" s="9"/>
      <c r="G12" s="9"/>
      <c r="H12" s="9"/>
      <c r="I12" s="9"/>
      <c r="J12" s="9"/>
      <c r="K12" s="11"/>
      <c r="L12" s="11"/>
    </row>
    <row r="13" spans="1:21" s="3" customFormat="1" ht="20.100000000000001" customHeight="1" x14ac:dyDescent="0.2">
      <c r="A13" s="12"/>
      <c r="B13" s="12"/>
      <c r="C13" s="12"/>
      <c r="D13" s="12"/>
      <c r="E13" s="12"/>
      <c r="F13" s="9"/>
      <c r="G13" s="9"/>
      <c r="H13" s="23"/>
      <c r="I13" s="23"/>
      <c r="J13" s="9"/>
      <c r="K13" s="11"/>
      <c r="L13" s="11"/>
    </row>
    <row r="14" spans="1:21" s="3" customFormat="1" ht="20.100000000000001" customHeight="1" x14ac:dyDescent="0.2">
      <c r="A14" s="5"/>
      <c r="B14" s="5"/>
      <c r="C14" s="5"/>
      <c r="D14" s="5"/>
      <c r="E14" s="5"/>
      <c r="F14" s="9"/>
      <c r="G14" s="9"/>
      <c r="H14" s="23"/>
      <c r="I14" s="23"/>
      <c r="J14" s="9"/>
      <c r="K14" s="11"/>
      <c r="L14" s="11"/>
    </row>
    <row r="15" spans="1:21" s="3" customFormat="1" ht="20.100000000000001" customHeight="1" x14ac:dyDescent="0.2">
      <c r="A15" s="12"/>
      <c r="B15" s="12"/>
      <c r="C15" s="12"/>
      <c r="D15" s="12"/>
      <c r="E15" s="12"/>
      <c r="F15" s="9"/>
      <c r="G15" s="9"/>
      <c r="H15" s="9"/>
      <c r="I15" s="9"/>
      <c r="J15" s="9"/>
      <c r="K15" s="11"/>
      <c r="L15" s="11"/>
    </row>
    <row r="16" spans="1:21" x14ac:dyDescent="0.2">
      <c r="A16" s="12"/>
      <c r="B16" s="12"/>
      <c r="C16" s="12"/>
      <c r="D16" s="12"/>
      <c r="E16" s="12"/>
      <c r="F16" s="9"/>
      <c r="G16" s="9"/>
      <c r="H16" s="23"/>
      <c r="I16" s="23"/>
      <c r="J16" s="9"/>
      <c r="K16" s="11"/>
      <c r="L16" s="11"/>
    </row>
    <row r="17" spans="1:12" x14ac:dyDescent="0.2">
      <c r="A17" s="5"/>
      <c r="B17" s="5"/>
      <c r="C17" s="5"/>
      <c r="D17" s="5"/>
      <c r="E17" s="5"/>
      <c r="F17" s="9"/>
      <c r="G17" s="9"/>
      <c r="H17" s="9"/>
      <c r="I17" s="9"/>
      <c r="J17" s="9"/>
      <c r="K17" s="11"/>
      <c r="L17" s="11"/>
    </row>
    <row r="18" spans="1:12" x14ac:dyDescent="0.2">
      <c r="A18" s="5"/>
      <c r="B18" s="5"/>
      <c r="C18" s="5"/>
      <c r="D18" s="5"/>
      <c r="E18" s="5"/>
      <c r="F18" s="9"/>
      <c r="G18" s="9"/>
      <c r="H18" s="23"/>
      <c r="I18" s="9"/>
      <c r="J18" s="9"/>
      <c r="K18" s="11"/>
      <c r="L18" s="11"/>
    </row>
    <row r="19" spans="1:12" x14ac:dyDescent="0.2">
      <c r="A19" s="5"/>
      <c r="B19" s="5"/>
      <c r="C19" s="5"/>
      <c r="D19" s="5"/>
      <c r="E19" s="5"/>
      <c r="F19" s="9"/>
      <c r="G19" s="9"/>
      <c r="H19" s="23"/>
      <c r="I19" s="23"/>
      <c r="J19" s="9"/>
      <c r="K19" s="11"/>
      <c r="L19" s="11"/>
    </row>
    <row r="20" spans="1:12" x14ac:dyDescent="0.2">
      <c r="A20" s="12"/>
      <c r="B20" s="12"/>
      <c r="C20" s="12"/>
      <c r="D20" s="12"/>
      <c r="E20" s="12"/>
      <c r="F20" s="9"/>
      <c r="G20" s="9"/>
      <c r="H20" s="9"/>
      <c r="I20" s="23"/>
      <c r="J20" s="23"/>
      <c r="K20" s="11"/>
      <c r="L20" s="11"/>
    </row>
    <row r="21" spans="1:12" x14ac:dyDescent="0.2">
      <c r="A21" s="12"/>
      <c r="B21" s="12"/>
      <c r="C21" s="12"/>
      <c r="D21" s="12"/>
      <c r="E21" s="12"/>
      <c r="F21" s="9"/>
      <c r="G21" s="9"/>
      <c r="H21" s="23"/>
      <c r="I21" s="23"/>
      <c r="J21" s="9"/>
      <c r="K21" s="11"/>
      <c r="L21" s="11"/>
    </row>
    <row r="22" spans="1:12" x14ac:dyDescent="0.2">
      <c r="A22" s="12"/>
      <c r="B22" s="12"/>
      <c r="C22" s="12"/>
      <c r="D22" s="12"/>
      <c r="E22" s="12"/>
      <c r="F22" s="9"/>
      <c r="G22" s="9"/>
      <c r="H22" s="23"/>
      <c r="I22" s="23"/>
      <c r="J22" s="23"/>
      <c r="K22" s="11"/>
      <c r="L22" s="11"/>
    </row>
    <row r="23" spans="1:12" x14ac:dyDescent="0.2">
      <c r="A23" s="22"/>
      <c r="B23" s="5"/>
      <c r="C23" s="5"/>
      <c r="D23" s="5"/>
      <c r="E23" s="5"/>
      <c r="F23" s="9"/>
      <c r="G23" s="9"/>
      <c r="H23" s="9"/>
      <c r="I23" s="23"/>
      <c r="J23" s="23"/>
      <c r="K23" s="11"/>
      <c r="L23" s="11"/>
    </row>
    <row r="24" spans="1:12" x14ac:dyDescent="0.2">
      <c r="A24" s="5"/>
      <c r="B24" s="5"/>
      <c r="C24" s="5"/>
      <c r="D24" s="5"/>
      <c r="E24" s="5"/>
      <c r="F24" s="9"/>
      <c r="G24" s="9"/>
      <c r="H24" s="23"/>
      <c r="I24" s="23"/>
      <c r="J24" s="9"/>
      <c r="K24" s="11"/>
      <c r="L24" s="11"/>
    </row>
    <row r="25" spans="1:12" x14ac:dyDescent="0.2">
      <c r="A25" s="5"/>
      <c r="B25" s="5"/>
      <c r="C25" s="5"/>
      <c r="D25" s="5"/>
      <c r="E25" s="5"/>
      <c r="F25" s="9"/>
      <c r="G25" s="9"/>
      <c r="H25" s="23"/>
      <c r="I25" s="9"/>
      <c r="J25" s="9"/>
      <c r="K25" s="11"/>
      <c r="L25" s="11"/>
    </row>
    <row r="26" spans="1:12" x14ac:dyDescent="0.2">
      <c r="A26" s="12"/>
      <c r="B26" s="12"/>
      <c r="C26" s="12"/>
      <c r="D26" s="12"/>
      <c r="E26" s="12"/>
      <c r="F26" s="9"/>
      <c r="G26" s="9"/>
      <c r="H26" s="23"/>
      <c r="I26" s="9"/>
      <c r="J26" s="9"/>
      <c r="K26" s="11"/>
      <c r="L26" s="11"/>
    </row>
    <row r="27" spans="1:12" x14ac:dyDescent="0.2">
      <c r="A27" s="21"/>
      <c r="B27" s="12"/>
      <c r="C27" s="12"/>
      <c r="D27" s="12"/>
      <c r="E27" s="12"/>
      <c r="F27" s="9"/>
      <c r="G27" s="9"/>
      <c r="H27" s="23"/>
      <c r="I27" s="9"/>
      <c r="J27" s="9"/>
      <c r="K27" s="11"/>
      <c r="L27" s="11"/>
    </row>
    <row r="28" spans="1:12" x14ac:dyDescent="0.2">
      <c r="A28" s="5"/>
      <c r="B28" s="5"/>
      <c r="C28" s="5"/>
      <c r="D28" s="5"/>
      <c r="E28" s="5"/>
      <c r="F28" s="9"/>
      <c r="G28" s="9"/>
      <c r="H28" s="3"/>
      <c r="I28" s="23"/>
      <c r="J28" s="9"/>
      <c r="K28" s="11"/>
      <c r="L28" s="11"/>
    </row>
    <row r="29" spans="1:12" x14ac:dyDescent="0.2">
      <c r="A29" s="5"/>
      <c r="B29" s="5"/>
      <c r="C29" s="5"/>
      <c r="D29" s="5"/>
      <c r="E29" s="5"/>
      <c r="F29" s="9"/>
      <c r="G29" s="9"/>
      <c r="H29" s="9"/>
      <c r="I29" s="23"/>
      <c r="J29" s="23"/>
      <c r="K29" s="11"/>
      <c r="L29" s="11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workbookViewId="0">
      <selection activeCell="R7" sqref="R7"/>
    </sheetView>
  </sheetViews>
  <sheetFormatPr defaultColWidth="9" defaultRowHeight="14.25" x14ac:dyDescent="0.2"/>
  <sheetData>
    <row r="5" spans="4:19" x14ac:dyDescent="0.2">
      <c r="F5" t="s">
        <v>281</v>
      </c>
      <c r="G5" t="s">
        <v>282</v>
      </c>
      <c r="J5" t="s">
        <v>283</v>
      </c>
      <c r="M5" t="s">
        <v>284</v>
      </c>
    </row>
    <row r="6" spans="4:19" x14ac:dyDescent="0.2">
      <c r="F6" t="s">
        <v>285</v>
      </c>
      <c r="G6" t="s">
        <v>285</v>
      </c>
      <c r="H6" t="s">
        <v>286</v>
      </c>
      <c r="I6" t="s">
        <v>287</v>
      </c>
      <c r="J6" t="s">
        <v>288</v>
      </c>
      <c r="K6" t="s">
        <v>286</v>
      </c>
      <c r="L6" t="s">
        <v>287</v>
      </c>
      <c r="M6" t="s">
        <v>286</v>
      </c>
      <c r="N6" t="s">
        <v>287</v>
      </c>
      <c r="Q6" s="1">
        <v>1</v>
      </c>
    </row>
    <row r="7" spans="4:19" x14ac:dyDescent="0.2">
      <c r="D7" t="s">
        <v>289</v>
      </c>
      <c r="E7" t="s">
        <v>22</v>
      </c>
      <c r="F7">
        <v>0.75</v>
      </c>
      <c r="G7">
        <v>0</v>
      </c>
      <c r="H7">
        <v>1</v>
      </c>
      <c r="I7">
        <v>1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2">
      <c r="E8" t="s">
        <v>30</v>
      </c>
      <c r="F8">
        <v>0.3</v>
      </c>
      <c r="G8">
        <v>0.3</v>
      </c>
      <c r="H8">
        <v>0</v>
      </c>
      <c r="I8">
        <v>0</v>
      </c>
      <c r="J8">
        <v>0.3</v>
      </c>
      <c r="K8">
        <v>0</v>
      </c>
      <c r="L8">
        <v>0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2">
      <c r="D10" t="s">
        <v>290</v>
      </c>
      <c r="E10" t="s">
        <v>22</v>
      </c>
      <c r="F10">
        <v>0.9</v>
      </c>
      <c r="G10">
        <v>0.2</v>
      </c>
      <c r="H10">
        <v>1.25</v>
      </c>
      <c r="I10">
        <v>1.25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8.35</v>
      </c>
      <c r="Q10">
        <f>Q6*$O$10</f>
        <v>8.35</v>
      </c>
      <c r="R10">
        <f>Q10*(1+(Q11*0.02))</f>
        <v>8.5002999999999993</v>
      </c>
      <c r="S10" s="2">
        <f>R10/R7</f>
        <v>1.3204349514563101</v>
      </c>
    </row>
    <row r="11" spans="4:19" x14ac:dyDescent="0.2">
      <c r="E11" t="s">
        <v>30</v>
      </c>
      <c r="F11">
        <v>0.2</v>
      </c>
      <c r="G11">
        <v>0.2</v>
      </c>
      <c r="H11">
        <v>0</v>
      </c>
      <c r="I11">
        <v>0</v>
      </c>
      <c r="J11">
        <v>0.2</v>
      </c>
      <c r="K11">
        <v>0</v>
      </c>
      <c r="L11">
        <v>0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2">
      <c r="E12" t="s">
        <v>291</v>
      </c>
      <c r="F12">
        <v>-0.1</v>
      </c>
      <c r="G12">
        <v>-0.05</v>
      </c>
      <c r="H12">
        <v>-0.05</v>
      </c>
      <c r="I12">
        <v>-0.05</v>
      </c>
      <c r="J12">
        <v>-0.05</v>
      </c>
      <c r="K12">
        <v>-0.05</v>
      </c>
      <c r="L12">
        <v>-0.05</v>
      </c>
      <c r="M12">
        <v>-0.05</v>
      </c>
      <c r="N12">
        <v>-0.05</v>
      </c>
      <c r="O12">
        <f>SUM(F12:N12)</f>
        <v>-0.5</v>
      </c>
    </row>
    <row r="13" spans="4:19" x14ac:dyDescent="0.2">
      <c r="E13" t="s">
        <v>292</v>
      </c>
      <c r="F13">
        <v>-15</v>
      </c>
      <c r="G13">
        <v>-20</v>
      </c>
      <c r="H13">
        <v>-30</v>
      </c>
      <c r="I13">
        <v>-30</v>
      </c>
      <c r="J13">
        <v>-15</v>
      </c>
      <c r="K13">
        <v>-30</v>
      </c>
      <c r="L13">
        <v>-30</v>
      </c>
      <c r="M13">
        <v>-15</v>
      </c>
      <c r="N13">
        <v>-15</v>
      </c>
      <c r="O13">
        <f>SUM(F13:N13)</f>
        <v>-200</v>
      </c>
      <c r="Q13" s="1">
        <v>2</v>
      </c>
    </row>
    <row r="14" spans="4:19" x14ac:dyDescent="0.2">
      <c r="Q14">
        <f>Q13*$O$7</f>
        <v>12.5</v>
      </c>
      <c r="R14">
        <f>Q14*(1+(Q15*0.02))</f>
        <v>13.25</v>
      </c>
    </row>
    <row r="15" spans="4:19" x14ac:dyDescent="0.2">
      <c r="Q15">
        <f>Q13*$O$8</f>
        <v>3</v>
      </c>
    </row>
    <row r="17" spans="17:19" x14ac:dyDescent="0.2">
      <c r="Q17">
        <f>Q13*$O$10</f>
        <v>16.7</v>
      </c>
      <c r="R17">
        <f>Q17*(1+(Q18*0.02))</f>
        <v>17.301200000000001</v>
      </c>
      <c r="S17" s="2">
        <f>R17/R14</f>
        <v>1.30575094339623</v>
      </c>
    </row>
    <row r="18" spans="17:19" x14ac:dyDescent="0.2">
      <c r="Q18">
        <f>Q13*$O$11</f>
        <v>1.8</v>
      </c>
    </row>
    <row r="20" spans="17:19" x14ac:dyDescent="0.2">
      <c r="Q20" s="1">
        <v>5</v>
      </c>
    </row>
    <row r="21" spans="17:19" x14ac:dyDescent="0.2">
      <c r="Q21">
        <f>Q20*$O$7</f>
        <v>31.25</v>
      </c>
      <c r="R21">
        <f>Q21*(1+(Q22*0.02))</f>
        <v>35.9375</v>
      </c>
    </row>
    <row r="22" spans="17:19" x14ac:dyDescent="0.2">
      <c r="Q22">
        <f>Q20*$O$8</f>
        <v>7.5</v>
      </c>
    </row>
    <row r="24" spans="17:19" x14ac:dyDescent="0.2">
      <c r="Q24">
        <f>Q20*$O$10</f>
        <v>41.75</v>
      </c>
      <c r="R24">
        <f>Q24*(1+(Q25*0.02))</f>
        <v>45.5075</v>
      </c>
      <c r="S24" s="2">
        <f>R24/R21</f>
        <v>1.2662956521739099</v>
      </c>
    </row>
    <row r="25" spans="17:19" x14ac:dyDescent="0.2">
      <c r="Q25">
        <f>Q20*$O$11</f>
        <v>4.5</v>
      </c>
    </row>
    <row r="27" spans="17:19" x14ac:dyDescent="0.2">
      <c r="Q27" s="1">
        <v>10</v>
      </c>
    </row>
    <row r="28" spans="17:19" x14ac:dyDescent="0.2">
      <c r="Q28">
        <f>Q27*$O$7</f>
        <v>62.5</v>
      </c>
      <c r="R28">
        <f>Q28*(1+(Q29*0.02))</f>
        <v>81.25</v>
      </c>
    </row>
    <row r="29" spans="17:19" x14ac:dyDescent="0.2">
      <c r="Q29">
        <f>Q27*$O$8</f>
        <v>15</v>
      </c>
    </row>
    <row r="31" spans="17:19" x14ac:dyDescent="0.2">
      <c r="Q31">
        <f>Q27*$O$10</f>
        <v>83.5</v>
      </c>
      <c r="R31">
        <f>Q31*(1+(Q32*0.02))</f>
        <v>98.53</v>
      </c>
      <c r="S31" s="2">
        <f>R31/R28</f>
        <v>1.2126769230769201</v>
      </c>
    </row>
    <row r="32" spans="17:19" x14ac:dyDescent="0.2">
      <c r="Q32">
        <f>Q27*$O$11</f>
        <v>9</v>
      </c>
    </row>
    <row r="34" spans="17:19" x14ac:dyDescent="0.2">
      <c r="Q34" s="1">
        <v>15</v>
      </c>
    </row>
    <row r="35" spans="17:19" x14ac:dyDescent="0.2">
      <c r="Q35">
        <f>Q34*$O$7</f>
        <v>93.75</v>
      </c>
      <c r="R35">
        <f>Q35*(1+(Q36*0.02))</f>
        <v>135.9375</v>
      </c>
    </row>
    <row r="36" spans="17:19" x14ac:dyDescent="0.2">
      <c r="Q36">
        <f>Q34*$O$8</f>
        <v>22.5</v>
      </c>
    </row>
    <row r="38" spans="17:19" x14ac:dyDescent="0.2">
      <c r="Q38">
        <f>Q34*$O$10</f>
        <v>125.25</v>
      </c>
      <c r="R38">
        <f>Q38*(1+(Q39*0.02))</f>
        <v>159.0675</v>
      </c>
      <c r="S38" s="2">
        <f>R38/R35</f>
        <v>1.17015172413793</v>
      </c>
    </row>
    <row r="39" spans="17:19" x14ac:dyDescent="0.2">
      <c r="Q39">
        <f>Q34*$O$11</f>
        <v>13.5</v>
      </c>
    </row>
    <row r="41" spans="17:19" x14ac:dyDescent="0.2">
      <c r="Q41" s="1">
        <v>20</v>
      </c>
    </row>
    <row r="42" spans="17:19" x14ac:dyDescent="0.2">
      <c r="Q42">
        <f>Q41*$O$7</f>
        <v>125</v>
      </c>
      <c r="R42">
        <f>Q42*(1+(Q43*0.02))</f>
        <v>200</v>
      </c>
    </row>
    <row r="43" spans="17:19" x14ac:dyDescent="0.2">
      <c r="Q43">
        <f>Q41*$O$8</f>
        <v>30</v>
      </c>
    </row>
    <row r="45" spans="17:19" x14ac:dyDescent="0.2">
      <c r="Q45">
        <f>Q41*$O$10</f>
        <v>167</v>
      </c>
      <c r="R45">
        <f>Q45*(1+(Q46*0.02))</f>
        <v>227.12</v>
      </c>
      <c r="S45" s="2">
        <f>R45/R42</f>
        <v>1.1355999999999999</v>
      </c>
    </row>
    <row r="46" spans="17:19" x14ac:dyDescent="0.2">
      <c r="Q46">
        <f>Q41*$O$11</f>
        <v>18</v>
      </c>
    </row>
    <row r="48" spans="17:19" x14ac:dyDescent="0.2">
      <c r="Q48" s="1">
        <v>25</v>
      </c>
    </row>
    <row r="49" spans="17:19" x14ac:dyDescent="0.2">
      <c r="Q49">
        <f>Q48*$O$7</f>
        <v>156.25</v>
      </c>
      <c r="R49">
        <f>Q49*(1+(Q50*0.02))</f>
        <v>273.4375</v>
      </c>
    </row>
    <row r="50" spans="17:19" x14ac:dyDescent="0.2">
      <c r="Q50">
        <f>Q48*$O$8</f>
        <v>37.5</v>
      </c>
    </row>
    <row r="52" spans="17:19" x14ac:dyDescent="0.2">
      <c r="Q52">
        <f>Q48*$O$10</f>
        <v>208.75</v>
      </c>
      <c r="R52">
        <f>Q52*(1+(Q53*0.02))</f>
        <v>302.6875</v>
      </c>
      <c r="S52" s="2">
        <f>R52/R49</f>
        <v>1.10697142857143</v>
      </c>
    </row>
    <row r="53" spans="17:19" x14ac:dyDescent="0.2">
      <c r="Q53">
        <f>Q48*$O$11</f>
        <v>22.5</v>
      </c>
    </row>
    <row r="55" spans="17:19" x14ac:dyDescent="0.2">
      <c r="Q55" s="1">
        <v>35</v>
      </c>
    </row>
    <row r="56" spans="17:19" x14ac:dyDescent="0.2">
      <c r="Q56">
        <f>Q55*$O$7</f>
        <v>218.75</v>
      </c>
      <c r="R56">
        <f>Q56*(1+(Q57*0.02))</f>
        <v>448.4375</v>
      </c>
    </row>
    <row r="57" spans="17:19" x14ac:dyDescent="0.2">
      <c r="Q57">
        <f>Q55*$O$8</f>
        <v>52.5</v>
      </c>
    </row>
    <row r="59" spans="17:19" x14ac:dyDescent="0.2">
      <c r="Q59">
        <f>Q55*$O$10</f>
        <v>292.25</v>
      </c>
      <c r="R59">
        <f>Q59*(1+(Q60*0.02))</f>
        <v>476.36750000000001</v>
      </c>
      <c r="S59" s="2">
        <f>R59/R56</f>
        <v>1.0622829268292699</v>
      </c>
    </row>
    <row r="60" spans="17:19" x14ac:dyDescent="0.2">
      <c r="Q60">
        <f>Q55*$O$11</f>
        <v>31.5</v>
      </c>
    </row>
    <row r="62" spans="17:19" x14ac:dyDescent="0.2">
      <c r="Q62" s="1">
        <v>40</v>
      </c>
    </row>
    <row r="63" spans="17:19" x14ac:dyDescent="0.2">
      <c r="Q63">
        <f>Q62*$O$7</f>
        <v>250</v>
      </c>
      <c r="R63">
        <f>Q63*(1+(Q64*0.02))</f>
        <v>550</v>
      </c>
    </row>
    <row r="64" spans="17:19" x14ac:dyDescent="0.2">
      <c r="Q64">
        <f>Q62*$O$8</f>
        <v>60</v>
      </c>
    </row>
    <row r="66" spans="17:19" x14ac:dyDescent="0.2">
      <c r="Q66">
        <f>Q62*$O$10</f>
        <v>334</v>
      </c>
      <c r="R66">
        <f>Q66*(1+(Q67*0.02))</f>
        <v>574.48</v>
      </c>
      <c r="S66" s="2">
        <f>R66/R63</f>
        <v>1.0445090909090899</v>
      </c>
    </row>
    <row r="67" spans="17:19" x14ac:dyDescent="0.2">
      <c r="Q67">
        <f>Q62*$O$11</f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2026-04-24T05:37:54Z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