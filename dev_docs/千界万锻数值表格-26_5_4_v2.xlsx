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6C93A5CF-8A4F-4755-A9D8-2CB4B875FA79}" xr6:coauthVersionLast="47" xr6:coauthVersionMax="47" xr10:uidLastSave="{00000000-0000-0000-0000-000000000000}"/>
  <bookViews>
    <workbookView xWindow="30612" yWindow="-6720" windowWidth="30936" windowHeight="18816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81029"/>
</workbook>
</file>

<file path=xl/calcChain.xml><?xml version="1.0" encoding="utf-8"?>
<calcChain xmlns="http://schemas.openxmlformats.org/spreadsheetml/2006/main">
  <c r="AT16" i="5" l="1"/>
  <c r="AX21" i="5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21" i="5" l="1"/>
  <c r="AG20" i="5"/>
  <c r="AG18" i="5"/>
  <c r="AG17" i="5"/>
  <c r="AG16" i="5"/>
  <c r="AG13" i="5"/>
  <c r="AG12" i="5"/>
  <c r="AG14" i="5"/>
  <c r="AC21" i="5"/>
  <c r="AC20" i="5"/>
  <c r="AC18" i="5"/>
  <c r="AC17" i="5"/>
  <c r="AC16" i="5"/>
  <c r="AC14" i="5"/>
  <c r="AC13" i="5"/>
  <c r="AC12" i="5"/>
  <c r="AC9" i="5"/>
  <c r="AC7" i="5"/>
  <c r="AC10" i="5"/>
  <c r="AC8" i="5"/>
  <c r="Y21" i="5"/>
  <c r="Y20" i="5"/>
  <c r="Y18" i="5"/>
  <c r="Y17" i="5"/>
  <c r="Y16" i="5"/>
  <c r="Y14" i="5"/>
  <c r="Y13" i="5"/>
  <c r="Y12" i="5"/>
  <c r="Y10" i="5"/>
  <c r="Y9" i="5"/>
  <c r="Y8" i="5"/>
  <c r="Y7" i="5"/>
  <c r="Y6" i="5"/>
  <c r="AC6" i="5"/>
  <c r="AG10" i="5"/>
  <c r="AG9" i="5"/>
  <c r="AG8" i="5"/>
  <c r="AG7" i="5"/>
  <c r="AG6" i="5"/>
  <c r="AO6" i="5"/>
  <c r="AH7" i="5" l="1"/>
  <c r="AH8" i="5"/>
  <c r="AH9" i="5"/>
  <c r="AH10" i="5"/>
  <c r="AH6" i="5"/>
  <c r="AD6" i="5"/>
  <c r="Z6" i="5"/>
  <c r="AH20" i="5"/>
  <c r="AH21" i="5"/>
  <c r="AH16" i="5"/>
  <c r="AH17" i="5"/>
  <c r="AH18" i="5"/>
  <c r="AH14" i="5"/>
  <c r="AH12" i="5"/>
  <c r="AH13" i="5"/>
  <c r="AD20" i="5"/>
  <c r="AD21" i="5"/>
  <c r="AD16" i="5"/>
  <c r="AD17" i="5"/>
  <c r="AD18" i="5"/>
  <c r="AD12" i="5"/>
  <c r="AD13" i="5"/>
  <c r="AD14" i="5"/>
  <c r="AD8" i="5"/>
  <c r="AD10" i="5"/>
  <c r="AD7" i="5"/>
  <c r="AD9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L13" i="5"/>
  <c r="L12" i="5"/>
  <c r="L21" i="5"/>
  <c r="L20" i="5"/>
  <c r="L18" i="5"/>
  <c r="L17" i="5"/>
  <c r="L16" i="5"/>
  <c r="L10" i="5"/>
  <c r="L9" i="5"/>
  <c r="L8" i="5"/>
  <c r="L6" i="5"/>
  <c r="L7" i="5"/>
  <c r="AN21" i="5"/>
  <c r="T21" i="5"/>
  <c r="Q21" i="5"/>
  <c r="AN20" i="5"/>
  <c r="T20" i="5"/>
  <c r="Q20" i="5"/>
  <c r="AN18" i="5"/>
  <c r="T18" i="5"/>
  <c r="Q18" i="5"/>
  <c r="AN17" i="5"/>
  <c r="T17" i="5"/>
  <c r="Q17" i="5"/>
  <c r="AN16" i="5"/>
  <c r="T16" i="5"/>
  <c r="Q16" i="5"/>
  <c r="AN14" i="5"/>
  <c r="T14" i="5"/>
  <c r="Q14" i="5"/>
  <c r="AN13" i="5"/>
  <c r="T13" i="5"/>
  <c r="Q13" i="5"/>
  <c r="AN12" i="5"/>
  <c r="T12" i="5"/>
  <c r="Q12" i="5"/>
  <c r="AN10" i="5"/>
  <c r="T10" i="5"/>
  <c r="Q10" i="5"/>
  <c r="AN9" i="5"/>
  <c r="T9" i="5"/>
  <c r="Q9" i="5"/>
  <c r="AN8" i="5"/>
  <c r="T8" i="5"/>
  <c r="Q8" i="5"/>
  <c r="AN7" i="5"/>
  <c r="T7" i="5"/>
  <c r="Q7" i="5"/>
  <c r="AN6" i="5"/>
  <c r="T6" i="5"/>
  <c r="Q6" i="5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S14" i="5"/>
  <c r="AS13" i="5"/>
  <c r="AS12" i="5"/>
  <c r="AS10" i="5"/>
  <c r="AS9" i="5"/>
  <c r="AS7" i="5"/>
  <c r="AS8" i="5"/>
  <c r="AS6" i="5"/>
  <c r="AQ6" i="5"/>
  <c r="AQ21" i="5"/>
  <c r="AQ20" i="5"/>
  <c r="AQ17" i="5"/>
  <c r="AQ16" i="5"/>
  <c r="AQ18" i="5"/>
  <c r="AQ14" i="5"/>
  <c r="AQ13" i="5"/>
  <c r="AQ12" i="5"/>
  <c r="AQ9" i="5"/>
  <c r="AQ8" i="5"/>
  <c r="AQ7" i="5"/>
  <c r="AO21" i="5"/>
  <c r="AO20" i="5"/>
  <c r="AO18" i="5"/>
  <c r="AO17" i="5"/>
  <c r="AO16" i="5"/>
  <c r="AO13" i="5"/>
  <c r="AO12" i="5"/>
  <c r="AO14" i="5"/>
  <c r="AO8" i="5"/>
  <c r="AO10" i="5"/>
  <c r="AO9" i="5"/>
  <c r="AO7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E9" i="5"/>
  <c r="BC17" i="5"/>
  <c r="BE17" i="5"/>
  <c r="BE8" i="5"/>
  <c r="BE6" i="5"/>
  <c r="BC21" i="5"/>
  <c r="BE21" i="5"/>
  <c r="BE7" i="5"/>
  <c r="BC18" i="5"/>
  <c r="BE18" i="5"/>
  <c r="BE14" i="5"/>
  <c r="BE12" i="5"/>
  <c r="BE10" i="5"/>
  <c r="BC20" i="5"/>
  <c r="BE20" i="5"/>
  <c r="BE16" i="5"/>
  <c r="BE13" i="5"/>
  <c r="BA9" i="5"/>
  <c r="BC9" i="5"/>
  <c r="BA18" i="5"/>
  <c r="BA8" i="5"/>
  <c r="BC8" i="5"/>
  <c r="BA16" i="5"/>
  <c r="BC16" i="5"/>
  <c r="BA13" i="5"/>
  <c r="BC13" i="5"/>
  <c r="BA7" i="5"/>
  <c r="BC7" i="5"/>
  <c r="BA6" i="5"/>
  <c r="BC6" i="5"/>
  <c r="BA10" i="5"/>
  <c r="BC10" i="5"/>
  <c r="BA21" i="5"/>
  <c r="BA17" i="5"/>
  <c r="BA20" i="5"/>
  <c r="BA14" i="5"/>
  <c r="BC14" i="5"/>
  <c r="BA12" i="5"/>
  <c r="BC12" i="5"/>
  <c r="BF20" i="5" l="1"/>
  <c r="BD20" i="5"/>
  <c r="BF21" i="5"/>
  <c r="BD21" i="5"/>
  <c r="BB21" i="5"/>
  <c r="BF16" i="5"/>
  <c r="BD16" i="5"/>
  <c r="BB16" i="5"/>
  <c r="BF17" i="5"/>
  <c r="BD17" i="5"/>
  <c r="BB17" i="5"/>
  <c r="BF18" i="5"/>
  <c r="BD18" i="5"/>
  <c r="BB18" i="5"/>
  <c r="BF12" i="5"/>
  <c r="BD12" i="5"/>
  <c r="BB12" i="5"/>
  <c r="BF13" i="5"/>
  <c r="BD13" i="5"/>
  <c r="BB13" i="5"/>
  <c r="BF14" i="5"/>
  <c r="BD14" i="5"/>
  <c r="BB14" i="5"/>
  <c r="BF7" i="5"/>
  <c r="BD7" i="5"/>
  <c r="BB7" i="5"/>
  <c r="BF8" i="5"/>
  <c r="BD8" i="5"/>
  <c r="BB8" i="5"/>
  <c r="BF9" i="5"/>
  <c r="BD9" i="5"/>
  <c r="BB9" i="5"/>
  <c r="BF10" i="5"/>
  <c r="BD10" i="5"/>
  <c r="BB10" i="5"/>
  <c r="BB6" i="5"/>
  <c r="BF6" i="5"/>
  <c r="BD6" i="5"/>
  <c r="BB20" i="5"/>
  <c r="AP9" i="5"/>
  <c r="AP10" i="5"/>
  <c r="AP8" i="5"/>
  <c r="AP14" i="5"/>
  <c r="AP12" i="5"/>
  <c r="AP13" i="5"/>
  <c r="AP6" i="5"/>
  <c r="AP16" i="5"/>
  <c r="AP17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R14" i="5"/>
  <c r="R7" i="5"/>
  <c r="R17" i="5"/>
  <c r="R8" i="5"/>
  <c r="R10" i="5"/>
  <c r="R13" i="5"/>
  <c r="R16" i="5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AT13" i="5" l="1"/>
  <c r="AT10" i="5"/>
  <c r="AT8" i="5"/>
  <c r="AT17" i="5"/>
  <c r="AT14" i="5"/>
  <c r="AT12" i="5"/>
  <c r="AT21" i="5"/>
  <c r="AT9" i="5"/>
  <c r="AT6" i="5"/>
  <c r="AT20" i="5"/>
  <c r="AT18" i="5"/>
  <c r="AR16" i="5"/>
  <c r="AR13" i="5"/>
  <c r="AR10" i="5"/>
  <c r="AR8" i="5"/>
  <c r="AR17" i="5"/>
  <c r="AR14" i="5"/>
  <c r="AR12" i="5"/>
  <c r="AR21" i="5"/>
  <c r="AR9" i="5"/>
  <c r="AR6" i="5"/>
  <c r="AR20" i="5"/>
  <c r="AR18" i="5"/>
  <c r="AR7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<sst xmlns="http://schemas.openxmlformats.org/spreadsheetml/2006/main" count="452" uniqueCount="248">
  <si>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</si>
  <si>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</si>
  <si>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</si>
  <si>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</si>
  <si>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</si>
  <si>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</si>
  <si>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</si>
  <si>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</si>
  <si>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</si>
  <si>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</si>
  <si>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</si>
  <si>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</si>
  <si>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</si>
  <si>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</si>
  <si>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</si>
  <si>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</si>
  <si>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</si>
  <si>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</si>
  <si>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</si>
  <si>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</si>
  <si>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</si>
  <si>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</si>
  <si>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</si>
  <si>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</si>
  <si>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</si>
  <si>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</si>
  <si>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</si>
  <si>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</si>
  <si>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</si>
  <si>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</si>
  <si>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</si>
  <si>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</si>
  <si>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</si>
  <si>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</si>
  <si>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</si>
  <si>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</si>
  <si>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</si>
  <si>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</si>
  <si>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</si>
  <si>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</si>
  <si>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</si>
  <si>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</si>
  <si>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</si>
  <si>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</si>
  <si>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</si>
  <si>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</si>
  <si>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</si>
  <si>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</si>
  <si>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</si>
  <si>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</si>
  <si>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</si>
  <si>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</si>
  <si>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</si>
  <si>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</si>
  <si>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</si>
  <si>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</si>
  <si>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</si>
  <si>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</si>
  <si>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</si>
  <si>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</si>
  <si>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</si>
  <si>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</si>
  <si>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</si>
  <si>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</si>
  <si>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</si>
  <si>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</si>
  <si>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</si>
  <si>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</si>
  <si>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</si>
  <si>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</si>
  <si>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</si>
  <si>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</si>
  <si>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</si>
  <si>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</si>
  <si>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</si>
  <si>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</si>
  <si>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</si>
  <si>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</si>
  <si>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</si>
  <si>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</si>
  <si>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</si>
  <si>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</si>
  <si>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</si>
  <si>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</si>
  <si>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</si>
  <si>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</si>
  <si>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</si>
  <si>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</si>
  <si>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</si>
  <si>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</si>
  <si>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</si>
  <si>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</si>
  <si>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</si>
  <si>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</si>
  <si>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</si>
  <si>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</si>
  <si>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</si>
  <si>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</si>
  <si>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</si>
  <si>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</si>
  <si>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</si>
  <si>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r>
      <t>N</t>
    </r>
    <r>
      <rPr>
        <sz val="11"/>
        <color theme="1"/>
        <rFont val="宋体"/>
        <family val="3"/>
        <charset val="134"/>
        <scheme val="minor"/>
      </rPr>
      <t>A</t>
    </r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</si>
  <si>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</si>
  <si>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</si>
  <si>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</si>
  <si>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</si>
  <si>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</si>
  <si>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</si>
  <si>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</si>
  <si>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</si>
  <si>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</si>
  <si>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</si>
  <si>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</si>
  <si>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</si>
  <si>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</si>
  <si>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</si>
  <si>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</si>
  <si>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</si>
  <si>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</si>
  <si>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</si>
  <si>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</si>
  <si>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</si>
  <si>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</si>
  <si>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</si>
  <si>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</si>
  <si>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</si>
  <si>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</si>
  <si>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</si>
  <si>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</si>
  <si>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</si>
  <si>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</si>
  <si>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</si>
  <si>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</si>
  <si>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</si>
  <si>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</si>
  <si>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</si>
  <si>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</si>
  <si>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</si>
  <si>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</si>
  <si>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</si>
  <si>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</si>
  <si>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</si>
  <si>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</si>
  <si>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</si>
  <si>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</si>
  <si>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</si>
  <si>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</si>
  <si>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</si>
  <si>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</si>
  <si>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</si>
  <si>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</si>
  <si>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</si>
  <si>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</si>
  <si>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</si>
  <si>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</si>
  <si>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</si>
  <si>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</si>
  <si>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</si>
  <si>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</si>
  <si>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</si>
  <si>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</si>
  <si>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紫金</t>
    <phoneticPr fontId="7" type="noConversion"/>
  </si>
  <si>
    <t>暮色（牛头雪怪后）</t>
    <phoneticPr fontId="7" type="noConversion"/>
  </si>
  <si>
    <t>暮色（骑士前）</t>
    <phoneticPr fontId="7" type="noConversion"/>
  </si>
  <si>
    <t>牛头人肉</t>
    <phoneticPr fontId="7" type="noConversion"/>
  </si>
  <si>
    <t>恶魂泪</t>
    <phoneticPr fontId="7" type="noConversion"/>
  </si>
  <si>
    <t>砷铅铁</t>
  </si>
  <si>
    <t>极地毛坯</t>
    <phoneticPr fontId="7" type="noConversion"/>
  </si>
  <si>
    <t>硫磺块</t>
    <phoneticPr fontId="7" type="noConversion"/>
  </si>
  <si>
    <t>远古金属粒</t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</si>
  <si>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</si>
  <si>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</si>
  <si>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</si>
  <si>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</si>
  <si>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</si>
  <si>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</si>
  <si>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</si>
  <si>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</si>
  <si>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</si>
  <si>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</si>
  <si>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</si>
  <si>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</si>
  <si>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紫菘结晶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</si>
  <si>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</si>
  <si>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</si>
  <si>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</si>
  <si>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</si>
  <si>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</si>
  <si>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</si>
  <si>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</si>
  <si>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</si>
  <si>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</si>
  <si>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</si>
  <si>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</si>
  <si>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</si>
  <si>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金</t>
    <phoneticPr fontId="7" type="noConversion"/>
  </si>
  <si>
    <t>攻击</t>
    <phoneticPr fontId="7" type="noConversion"/>
  </si>
  <si>
    <t>生命</t>
    <phoneticPr fontId="7" type="noConversion"/>
  </si>
  <si>
    <t>MS3C</t>
    <phoneticPr fontId="7" type="noConversion"/>
  </si>
  <si>
    <t>下界合金碎片</t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</si>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</sst>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6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</sheetNames>
    <definedNames>
      <definedName name="CALC_DMG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abSelected="1" topLeftCell="B1" zoomScale="85" zoomScaleNormal="85" workbookViewId="0">
      <pane xSplit="2" ySplit="5" topLeftCell="AQ6" activePane="bottomRight" state="frozen"/>
      <selection activeCell="B1" sqref="B1"/>
      <selection pane="topRight" activeCell="C1" sqref="C1"/>
      <selection pane="bottomLeft" activeCell="B4" sqref="B4"/>
      <selection pane="bottomRight" activeCell="AV2" sqref="AV2:AX2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229</v>
      </c>
      <c r="AF2" s="72" t="s">
        <v>228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238</v>
      </c>
      <c r="AR2" s="7" t="s">
        <v>237</v>
      </c>
      <c r="AT2" s="72" t="s">
        <v>236</v>
      </c>
      <c r="AV2" s="8">
        <v>1.2</v>
      </c>
      <c r="AW2" s="8">
        <v>0.6</v>
      </c>
      <c r="AX2" s="8">
        <v>0.6</v>
      </c>
      <c r="BB2" s="7" t="s">
        <v>240</v>
      </c>
      <c r="BD2" s="7" t="s">
        <v>241</v>
      </c>
      <c r="BF2" s="72" t="s">
        <v>239</v>
      </c>
    </row>
    <row r="3" spans="2:58" ht="24" customHeight="1" x14ac:dyDescent="0.15">
      <c r="C3" s="21"/>
      <c r="D3" s="82" t="s">
        <v>46</v>
      </c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21"/>
      <c r="V3" s="21"/>
      <c r="W3" s="83" t="s">
        <v>225</v>
      </c>
      <c r="X3" s="84"/>
      <c r="Y3" s="84"/>
      <c r="Z3" s="84"/>
      <c r="AA3" s="83" t="s">
        <v>226</v>
      </c>
      <c r="AB3" s="84"/>
      <c r="AC3" s="84"/>
      <c r="AD3" s="84"/>
      <c r="AE3" s="83" t="s">
        <v>227</v>
      </c>
      <c r="AF3" s="84"/>
      <c r="AG3" s="84"/>
      <c r="AH3" s="84"/>
      <c r="AJ3" s="85" t="s">
        <v>57</v>
      </c>
      <c r="AK3" s="85"/>
      <c r="AL3" s="85"/>
      <c r="AM3" s="85"/>
      <c r="AN3" s="85"/>
      <c r="AO3" s="85"/>
      <c r="AP3" s="85"/>
      <c r="AQ3" s="85"/>
      <c r="AR3" s="85"/>
      <c r="AS3" s="85"/>
      <c r="AT3" s="85"/>
      <c r="AV3" s="129" t="s">
        <v>244</v>
      </c>
      <c r="AW3" s="82"/>
      <c r="AX3" s="82"/>
      <c r="AY3" s="82"/>
      <c r="AZ3" s="82"/>
      <c r="BA3" s="82"/>
      <c r="BB3" s="82"/>
      <c r="BC3" s="82"/>
      <c r="BD3" s="82"/>
      <c r="BE3" s="82"/>
      <c r="BF3" s="82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6"/>
      <c r="AK4" s="86"/>
      <c r="AL4" s="86"/>
      <c r="AM4" s="86"/>
      <c r="AN4" s="86"/>
      <c r="AO4" s="86"/>
      <c r="AP4" s="86"/>
      <c r="AQ4" s="86"/>
      <c r="AR4" s="86"/>
      <c r="AS4" s="86"/>
      <c r="AT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215</v>
      </c>
      <c r="L5" s="33" t="s">
        <v>218</v>
      </c>
      <c r="M5" s="33" t="s">
        <v>219</v>
      </c>
      <c r="N5" s="28" t="s">
        <v>216</v>
      </c>
      <c r="O5" s="30" t="s">
        <v>217</v>
      </c>
      <c r="P5" s="23" t="s">
        <v>66</v>
      </c>
      <c r="Q5" s="61" t="s">
        <v>214</v>
      </c>
      <c r="R5" s="61" t="s">
        <v>220</v>
      </c>
      <c r="S5" s="61" t="s">
        <v>221</v>
      </c>
      <c r="T5" s="48" t="s">
        <v>222</v>
      </c>
      <c r="U5" s="48" t="s">
        <v>223</v>
      </c>
      <c r="V5" s="48" t="s">
        <v>224</v>
      </c>
      <c r="W5" s="12" t="s">
        <v>69</v>
      </c>
      <c r="X5" s="79" t="s">
        <v>67</v>
      </c>
      <c r="Y5" s="128" t="s">
        <v>243</v>
      </c>
      <c r="Z5" s="79" t="s">
        <v>242</v>
      </c>
      <c r="AA5" s="15" t="s">
        <v>69</v>
      </c>
      <c r="AB5" s="78" t="s">
        <v>67</v>
      </c>
      <c r="AC5" s="33" t="s">
        <v>243</v>
      </c>
      <c r="AD5" s="78" t="s">
        <v>242</v>
      </c>
      <c r="AE5" s="22" t="s">
        <v>69</v>
      </c>
      <c r="AF5" s="77" t="s">
        <v>67</v>
      </c>
      <c r="AG5" s="80" t="s">
        <v>243</v>
      </c>
      <c r="AH5" s="77" t="s">
        <v>242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230</v>
      </c>
      <c r="AP5" s="75" t="s">
        <v>233</v>
      </c>
      <c r="AQ5" s="31" t="s">
        <v>231</v>
      </c>
      <c r="AR5" s="75" t="s">
        <v>234</v>
      </c>
      <c r="AS5" s="31" t="s">
        <v>232</v>
      </c>
      <c r="AT5" s="75" t="s">
        <v>235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230</v>
      </c>
      <c r="BB5" s="75" t="s">
        <v>233</v>
      </c>
      <c r="BC5" s="31" t="s">
        <v>231</v>
      </c>
      <c r="BD5" s="75" t="s">
        <v>234</v>
      </c>
      <c r="BE5" s="31" t="s">
        <v>232</v>
      </c>
      <c r="BF5" s="75" t="s">
        <v>235</v>
      </c>
    </row>
    <row r="6" spans="2:58" ht="24" customHeight="1" x14ac:dyDescent="0.15">
      <c r="B6" s="81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>
        <f>CALC_DMG(AJ6,T6,$D$2, P6)</f>
        <v>0.5</v>
      </c>
      <c r="X6" s="79">
        <f>K6/W6</f>
        <v>44</v>
      </c>
      <c r="Y6" s="12" t="e">
        <f ca="1">CALC_DMG(AV6,T6,$D$2, P6)</f>
        <v>#NAME?</v>
      </c>
      <c r="Z6" s="79" t="e">
        <f ca="1">K6/Y6</f>
        <v>#NAME?</v>
      </c>
      <c r="AA6" s="15">
        <f>CALC_DMG(AJ6,U6,$D$2,P6)</f>
        <v>1.5</v>
      </c>
      <c r="AB6" s="78">
        <f>L6/AA6</f>
        <v>14</v>
      </c>
      <c r="AC6" s="15" t="e">
        <f ca="1">CALC_DMG(AV6,U6,$D$2,P6)</f>
        <v>#NAME?</v>
      </c>
      <c r="AD6" s="78" t="e">
        <f ca="1">L6/AC6</f>
        <v>#NAME?</v>
      </c>
      <c r="AE6" s="22">
        <f>CALC_DMG(AJ6,V6,$D$2,P6)</f>
        <v>3</v>
      </c>
      <c r="AF6" s="77">
        <f>M6/AE6</f>
        <v>6.666666666666667</v>
      </c>
      <c r="AG6" s="22" t="e">
        <f ca="1">CALC_DMG(AV6,V6,$D$2,P6)</f>
        <v>#NAME?</v>
      </c>
      <c r="AH6" s="77" t="e">
        <f ca="1">M6/AG6</f>
        <v>#NAME?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>
        <f>CALC_DMG(Q6*$AK$1,AN6,$AI$2,1)*$AK$2+CALC_DMG(Q6*$AL$1,AN6,$AI$2,1)*$AL$2+CALC_DMG(Q6*$AM$1,AN6,$AI$2,1)*$AM$2</f>
        <v>16.760159999999999</v>
      </c>
      <c r="AP6" s="75">
        <f>AK6/AO6</f>
        <v>1.1933060304913559</v>
      </c>
      <c r="AQ6" s="20">
        <f>CALC_DMG(R6*$AK$1,AN6,$AI$2,1)*$AK$2+CALC_DMG(R6*$AL$1,AN6,$AI$2,1)*$AL$2+CALC_DMG(R6*$AM$1,AN6,$AI$2,1)*$AM$2</f>
        <v>10.912800000000001</v>
      </c>
      <c r="AR6" s="75">
        <f>AK6/AQ6</f>
        <v>1.8327102118613003</v>
      </c>
      <c r="AS6" s="20">
        <f>CALC_DMG(S6*$AK$1,AN6,$AI$2,1)*$AK$2+CALC_DMG(S6*$AL$1,AN6,$AI$2,1)*$AL$2+CALC_DMG(S6*$AM$1,AN6,$AI$2,1)*$AM$2</f>
        <v>7.0399999999999991</v>
      </c>
      <c r="AT6" s="75">
        <f>AK6/AS6</f>
        <v>2.8409090909090913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>
        <f>[1]!CALC_DMG(Q6*$AK$1,AZ6,$AI$2,1)*$AK$2+[1]!CALC_DMG(Q6*$AL$1,AZ6,$AI$2,1)*$AL$2+[1]!CALC_DMG(Q6*$AM$1,AZ6,$AI$2,1)*$AM$2</f>
        <v>23.96</v>
      </c>
      <c r="BB6" s="75">
        <f>AW6/BA6</f>
        <v>0.5008347245409015</v>
      </c>
      <c r="BC6" s="20">
        <f>[1]!CALC_DMG(R6*$AK$1,AZ6,$AI$2,1)*$AK$2+[1]!CALC_DMG(R6*$AL$1,AZ6,$AI$2,1)*$AL$2+[1]!CALC_DMG(R6*$AM$1,AZ6,$AI$2,1)*$AM$2</f>
        <v>18.052</v>
      </c>
      <c r="BD6" s="75">
        <f>AW6/BC6</f>
        <v>0.66474628849988926</v>
      </c>
      <c r="BE6" s="20">
        <f>[1]!CALC_DMG(S6*$AK$1,AZ6,$AI$2,1)*$AK$2+[1]!CALC_DMG(S6*$AL$1,AZ6,$AI$2,1)*$AL$2+[1]!CALC_DMG(S6*$AM$1,AZ6,$AI$2,1)*$AM$2</f>
        <v>12.144000000000002</v>
      </c>
      <c r="BF6" s="75">
        <f>AW6/BE6</f>
        <v>0.98814229249011842</v>
      </c>
    </row>
    <row r="7" spans="2:58" ht="24" customHeight="1" x14ac:dyDescent="0.15">
      <c r="B7" s="81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>
        <f t="shared" ref="W7:W10" si="2">CALC_DMG(AJ7,T7,$D$2, P7)</f>
        <v>0.5</v>
      </c>
      <c r="X7" s="79">
        <f t="shared" ref="X7:X10" si="3">K7/W7</f>
        <v>80</v>
      </c>
      <c r="Y7" s="12" t="e">
        <f t="shared" ref="Y7:Y10" ca="1" si="4">CALC_DMG(AV7,T7,$D$2, P7)</f>
        <v>#NAME?</v>
      </c>
      <c r="Z7" s="79" t="e">
        <f t="shared" ref="Z7:Z10" ca="1" si="5">K7/Y7</f>
        <v>#NAME?</v>
      </c>
      <c r="AA7" s="15">
        <f t="shared" ref="AA7:AA10" si="6">CALC_DMG(AJ7,U7,$D$2,P7)</f>
        <v>2.34</v>
      </c>
      <c r="AB7" s="78">
        <f t="shared" ref="AB7:AB10" si="7">L7/AA7</f>
        <v>13.888888888888889</v>
      </c>
      <c r="AC7" s="15" t="e">
        <f t="shared" ref="AC7:AC10" ca="1" si="8">CALC_DMG(AV7,U7,$D$2,P7)</f>
        <v>#NAME?</v>
      </c>
      <c r="AD7" s="78" t="e">
        <f t="shared" ref="AD7:AD10" ca="1" si="9">L7/AC7</f>
        <v>#NAME?</v>
      </c>
      <c r="AE7" s="22">
        <f t="shared" ref="AE7:AE10" si="10">CALC_DMG(AJ7,V7,$D$2,P7)</f>
        <v>5</v>
      </c>
      <c r="AF7" s="77">
        <f t="shared" ref="AF7:AF21" si="11">M7/AE7</f>
        <v>5</v>
      </c>
      <c r="AG7" s="22" t="e">
        <f t="shared" ref="AG7:AG10" ca="1" si="12">CALC_DMG(AV7,V7,$D$2,P7)</f>
        <v>#NAME?</v>
      </c>
      <c r="AH7" s="77" t="e">
        <f t="shared" ref="AH7:AH10" ca="1" si="13">M7/AG7</f>
        <v>#NAME?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>
        <f>CALC_DMG(Q7*$AK$1,AN7,$AI$2,1)*$AK$2+CALC_DMG(Q7*$AL$1,AN7,$AI$2,1)*$AL$2+CALC_DMG(Q7*$AM$1,AN7,$AI$2,1)*$AM$2</f>
        <v>67.162392000000011</v>
      </c>
      <c r="AP7" s="75">
        <f>AK7/AO7</f>
        <v>0.67001782783436292</v>
      </c>
      <c r="AQ7" s="20">
        <f>CALC_DMG(R7*$AK$1,AN7,$AI$2,1)*$AK$2+CALC_DMG(R7*$AL$1,AN7,$AI$2,1)*$AL$2+CALC_DMG(R7*$AM$1,AN7,$AI$2,1)*$AM$2</f>
        <v>41.789196000000004</v>
      </c>
      <c r="AR7" s="75">
        <f>AK7/AQ7</f>
        <v>1.0768333518548669</v>
      </c>
      <c r="AS7" s="20">
        <f>CALC_DMG(S7*$AK$1,AN7,$AI$2,1)*$AK$2+CALC_DMG(S7*$AL$1,AN7,$AI$2,1)*$AL$2+CALC_DMG(S7*$AM$1,AN7,$AI$2,1)*$AM$2</f>
        <v>16.415999999999997</v>
      </c>
      <c r="AT7" s="75">
        <f>AK7/AS7</f>
        <v>2.7412280701754392</v>
      </c>
      <c r="AV7" s="12">
        <f t="shared" ref="AV7:AV10" si="14">AJ7*$AV$2</f>
        <v>9.6</v>
      </c>
      <c r="AW7" s="15">
        <f t="shared" ref="AW7:AW10" si="15">AK7*$AW$2</f>
        <v>27</v>
      </c>
      <c r="AX7" s="16">
        <f t="shared" ref="AX7:AX10" si="16">AL7*$AX$2</f>
        <v>1.2</v>
      </c>
      <c r="AY7" s="17">
        <v>0</v>
      </c>
      <c r="AZ7" s="17">
        <f>AX7*(1+(0.02*AY7))</f>
        <v>1.2</v>
      </c>
      <c r="BA7" s="20">
        <f>[1]!CALC_DMG(Q7*$AK$1,AZ7,$AI$2,1)*$AK$2+[1]!CALC_DMG(Q7*$AL$1,AZ7,$AI$2,1)*$AL$2+[1]!CALC_DMG(Q7*$AM$1,AZ7,$AI$2,1)*$AM$2</f>
        <v>74.362200000000001</v>
      </c>
      <c r="BB7" s="75">
        <f t="shared" ref="BB7:BB10" si="17">AW7/BA7</f>
        <v>0.36308769778193761</v>
      </c>
      <c r="BC7" s="20">
        <f>[1]!CALC_DMG(R7*$AK$1,AZ7,$AI$2,1)*$AK$2+[1]!CALC_DMG(R7*$AL$1,AZ7,$AI$2,1)*$AL$2+[1]!CALC_DMG(R7*$AM$1,AZ7,$AI$2,1)*$AM$2</f>
        <v>48.989100000000001</v>
      </c>
      <c r="BD7" s="75">
        <f t="shared" ref="BD7:BD10" si="18">AW7/BC7</f>
        <v>0.55114300936330729</v>
      </c>
      <c r="BE7" s="20">
        <f>[1]!CALC_DMG(S7*$AK$1,AZ7,$AI$2,1)*$AK$2+[1]!CALC_DMG(S7*$AL$1,AZ7,$AI$2,1)*$AL$2+[1]!CALC_DMG(S7*$AM$1,AZ7,$AI$2,1)*$AM$2</f>
        <v>23.616</v>
      </c>
      <c r="BF7" s="75">
        <f t="shared" ref="BF7:BF10" si="19">AW7/BE7</f>
        <v>1.1432926829268293</v>
      </c>
    </row>
    <row r="8" spans="2:58" ht="24" customHeight="1" x14ac:dyDescent="0.15">
      <c r="B8" s="81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20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>
        <f t="shared" si="2"/>
        <v>1.7649999999999988</v>
      </c>
      <c r="X8" s="79">
        <f t="shared" si="3"/>
        <v>56.657223796034032</v>
      </c>
      <c r="Y8" s="12" t="e">
        <f t="shared" ca="1" si="4"/>
        <v>#NAME?</v>
      </c>
      <c r="Z8" s="79" t="e">
        <f t="shared" ca="1" si="5"/>
        <v>#NAME?</v>
      </c>
      <c r="AA8" s="15">
        <f t="shared" si="6"/>
        <v>4.2449999999999992</v>
      </c>
      <c r="AB8" s="78">
        <f t="shared" si="7"/>
        <v>16.489988221436988</v>
      </c>
      <c r="AC8" s="15" t="e">
        <f t="shared" ca="1" si="8"/>
        <v>#NAME?</v>
      </c>
      <c r="AD8" s="78" t="e">
        <f t="shared" ca="1" si="9"/>
        <v>#NAME?</v>
      </c>
      <c r="AE8" s="22">
        <f t="shared" si="10"/>
        <v>6.7249999999999996</v>
      </c>
      <c r="AF8" s="77">
        <f t="shared" si="11"/>
        <v>5.947955390334573</v>
      </c>
      <c r="AG8" s="22" t="e">
        <f t="shared" ca="1" si="12"/>
        <v>#NAME?</v>
      </c>
      <c r="AH8" s="77" t="e">
        <f t="shared" ca="1" si="13"/>
        <v>#NAME?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>
        <f>CALC_DMG(Q8*$AK$1,AN8,$AI$2,1)*$AK$2+CALC_DMG(Q8*$AL$1,AN8,$AI$2,1)*$AL$2+CALC_DMG(Q8*$AM$1,AN8,$AI$2,1)*$AM$2</f>
        <v>127.75176000000002</v>
      </c>
      <c r="AP8" s="75">
        <f>AK8/AO8</f>
        <v>1.095875313185509</v>
      </c>
      <c r="AQ8" s="20">
        <f>CALC_DMG(R8*$AK$1,AN8,$AI$2,1)*$AK$2+CALC_DMG(R8*$AL$1,AN8,$AI$2,1)*$AL$2+CALC_DMG(R8*$AM$1,AN8,$AI$2,1)*$AM$2</f>
        <v>89.291880000000006</v>
      </c>
      <c r="AR8" s="75">
        <f>AK8/AQ8</f>
        <v>1.567891727668854</v>
      </c>
      <c r="AS8" s="20">
        <f>CALC_DMG(S8*$AK$1,AN8,$AI$2,1)*$AK$2+CALC_DMG(S8*$AL$1,AN8,$AI$2,1)*$AL$2+CALC_DMG(S8*$AM$1,AN8,$AI$2,1)*$AM$2</f>
        <v>50.831999999999994</v>
      </c>
      <c r="AT8" s="75">
        <f>AK8/AS8</f>
        <v>2.7541706011960971</v>
      </c>
      <c r="AV8" s="12">
        <f t="shared" si="14"/>
        <v>18.599999999999998</v>
      </c>
      <c r="AW8" s="15">
        <f t="shared" si="15"/>
        <v>84</v>
      </c>
      <c r="AX8" s="16">
        <f t="shared" si="16"/>
        <v>1.2</v>
      </c>
      <c r="AY8" s="17">
        <v>0</v>
      </c>
      <c r="AZ8" s="17">
        <f>AX8*(1+(0.02*AY8))</f>
        <v>1.2</v>
      </c>
      <c r="BA8" s="20">
        <f>[1]!CALC_DMG(Q8*$AK$1,AZ8,$AI$2,1)*$AK$2+[1]!CALC_DMG(Q8*$AL$1,AZ8,$AI$2,1)*$AL$2+[1]!CALC_DMG(Q8*$AM$1,AZ8,$AI$2,1)*$AM$2</f>
        <v>134.95159999999998</v>
      </c>
      <c r="BB8" s="75">
        <f t="shared" si="17"/>
        <v>0.62244538041786845</v>
      </c>
      <c r="BC8" s="20">
        <f>[1]!CALC_DMG(R8*$AK$1,AZ8,$AI$2,1)*$AK$2+[1]!CALC_DMG(R8*$AL$1,AZ8,$AI$2,1)*$AL$2+[1]!CALC_DMG(R8*$AM$1,AZ8,$AI$2,1)*$AM$2</f>
        <v>96.492199999999997</v>
      </c>
      <c r="BD8" s="75">
        <f t="shared" si="18"/>
        <v>0.87053668586683697</v>
      </c>
      <c r="BE8" s="20">
        <f>[1]!CALC_DMG(S8*$AK$1,AZ8,$AI$2,1)*$AK$2+[1]!CALC_DMG(S8*$AL$1,AZ8,$AI$2,1)*$AL$2+[1]!CALC_DMG(S8*$AM$1,AZ8,$AI$2,1)*$AM$2</f>
        <v>58.031999999999996</v>
      </c>
      <c r="BF8" s="75">
        <f t="shared" si="19"/>
        <v>1.4474772539288669</v>
      </c>
    </row>
    <row r="9" spans="2:58" ht="24" customHeight="1" x14ac:dyDescent="0.15">
      <c r="B9" s="81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20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>
        <f t="shared" si="2"/>
        <v>12.479999999999997</v>
      </c>
      <c r="X9" s="79">
        <f t="shared" si="3"/>
        <v>16.025641025641029</v>
      </c>
      <c r="Y9" s="12" t="e">
        <f t="shared" ca="1" si="4"/>
        <v>#NAME?</v>
      </c>
      <c r="Z9" s="79" t="e">
        <f t="shared" ca="1" si="5"/>
        <v>#NAME?</v>
      </c>
      <c r="AA9" s="15">
        <f t="shared" si="6"/>
        <v>15.439999999999998</v>
      </c>
      <c r="AB9" s="78">
        <f t="shared" si="7"/>
        <v>9.7150259067357521</v>
      </c>
      <c r="AC9" s="15" t="e">
        <f t="shared" ca="1" si="8"/>
        <v>#NAME?</v>
      </c>
      <c r="AD9" s="78" t="e">
        <f t="shared" ca="1" si="9"/>
        <v>#NAME?</v>
      </c>
      <c r="AE9" s="22">
        <f t="shared" si="10"/>
        <v>18.399999999999999</v>
      </c>
      <c r="AF9" s="77">
        <f t="shared" si="11"/>
        <v>5.4347826086956523</v>
      </c>
      <c r="AG9" s="22" t="e">
        <f t="shared" ca="1" si="12"/>
        <v>#NAME?</v>
      </c>
      <c r="AH9" s="77" t="e">
        <f t="shared" ca="1" si="13"/>
        <v>#NAME?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>
        <f>CALC_DMG(Q9*$AK$1,AN9,$AI$2,1)*$AK$2+CALC_DMG(Q9*$AL$1,AN9,$AI$2,1)*$AL$2+CALC_DMG(Q9*$AM$1,AN9,$AI$2,1)*$AM$2</f>
        <v>191.73024000000001</v>
      </c>
      <c r="AP9" s="75">
        <f>AK9/AO9</f>
        <v>1.0952888808776331</v>
      </c>
      <c r="AQ9" s="20">
        <f>CALC_DMG(R9*$AK$1,AN9,$AI$2,1)*$AK$2+CALC_DMG(R9*$AL$1,AN9,$AI$2,1)*$AL$2+CALC_DMG(R9*$AM$1,AN9,$AI$2,1)*$AM$2</f>
        <v>131.96111999999999</v>
      </c>
      <c r="AR9" s="75">
        <f>AK9/AQ9</f>
        <v>1.5913778240136187</v>
      </c>
      <c r="AS9" s="20">
        <f>CALC_DMG(S9*$AK$1,AN9,$AI$2,1)*$AK$2+CALC_DMG(S9*$AL$1,AN9,$AI$2,1)*$AL$2+CALC_DMG(S9*$AM$1,AN9,$AI$2,1)*$AM$2</f>
        <v>72.192000000000007</v>
      </c>
      <c r="AT9" s="75">
        <f>AK9/AS9</f>
        <v>2.9089095744680846</v>
      </c>
      <c r="AV9" s="12">
        <f t="shared" si="14"/>
        <v>38.4</v>
      </c>
      <c r="AW9" s="15">
        <f t="shared" si="15"/>
        <v>126</v>
      </c>
      <c r="AX9" s="16">
        <f t="shared" si="16"/>
        <v>3.5999999999999996</v>
      </c>
      <c r="AY9" s="17">
        <v>0</v>
      </c>
      <c r="AZ9" s="17">
        <f>AX9*(1+(0.02*AY9))</f>
        <v>3.5999999999999996</v>
      </c>
      <c r="BA9" s="20">
        <f>[1]!CALC_DMG(Q9*$AK$1,AZ9,$AI$2,1)*$AK$2+[1]!CALC_DMG(Q9*$AL$1,AZ9,$AI$2,1)*$AL$2+[1]!CALC_DMG(Q9*$AM$1,AZ9,$AI$2,1)*$AM$2</f>
        <v>213.3304</v>
      </c>
      <c r="BB9" s="75">
        <f t="shared" si="17"/>
        <v>0.59063312120541656</v>
      </c>
      <c r="BC9" s="20">
        <f>[1]!CALC_DMG(R9*$AK$1,AZ9,$AI$2,1)*$AK$2+[1]!CALC_DMG(R9*$AL$1,AZ9,$AI$2,1)*$AL$2+[1]!CALC_DMG(R9*$AM$1,AZ9,$AI$2,1)*$AM$2</f>
        <v>153.56119999999999</v>
      </c>
      <c r="BD9" s="75">
        <f t="shared" si="18"/>
        <v>0.82051976671190385</v>
      </c>
      <c r="BE9" s="20">
        <f>[1]!CALC_DMG(S9*$AK$1,AZ9,$AI$2,1)*$AK$2+[1]!CALC_DMG(S9*$AL$1,AZ9,$AI$2,1)*$AL$2+[1]!CALC_DMG(S9*$AM$1,AZ9,$AI$2,1)*$AM$2</f>
        <v>93.792000000000002</v>
      </c>
      <c r="BF9" s="75">
        <f t="shared" si="19"/>
        <v>1.3433981576253837</v>
      </c>
    </row>
    <row r="10" spans="2:58" ht="24" customHeight="1" x14ac:dyDescent="0.15">
      <c r="B10" s="87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20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>
        <f t="shared" si="2"/>
        <v>19.100000000000005</v>
      </c>
      <c r="X10" s="79">
        <f t="shared" si="3"/>
        <v>17.801047120418843</v>
      </c>
      <c r="Y10" s="12" t="e">
        <f t="shared" ca="1" si="4"/>
        <v>#NAME?</v>
      </c>
      <c r="Z10" s="79" t="e">
        <f t="shared" ca="1" si="5"/>
        <v>#NAME?</v>
      </c>
      <c r="AA10" s="15">
        <f t="shared" si="6"/>
        <v>22.200000000000003</v>
      </c>
      <c r="AB10" s="78">
        <f t="shared" si="7"/>
        <v>10.360360360360358</v>
      </c>
      <c r="AC10" s="15" t="e">
        <f t="shared" ca="1" si="8"/>
        <v>#NAME?</v>
      </c>
      <c r="AD10" s="78" t="e">
        <f t="shared" ca="1" si="9"/>
        <v>#NAME?</v>
      </c>
      <c r="AE10" s="22">
        <f t="shared" si="10"/>
        <v>25.300000000000004</v>
      </c>
      <c r="AF10" s="77">
        <f t="shared" si="11"/>
        <v>4.7430830039525684</v>
      </c>
      <c r="AG10" s="22" t="e">
        <f t="shared" ca="1" si="12"/>
        <v>#NAME?</v>
      </c>
      <c r="AH10" s="77" t="e">
        <f t="shared" ca="1" si="13"/>
        <v>#NAME?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>
        <f>CALC_DMG(Q10*$AK$1,AN10,$AI$2,1)*$AK$2+CALC_DMG(Q10*$AL$1,AN10,$AI$2,1)*$AL$2+CALC_DMG(Q10*$AM$1,AN10,$AI$2,1)*$AM$2</f>
        <v>369.33888000000002</v>
      </c>
      <c r="AP10" s="75">
        <f>AK10/AO10</f>
        <v>0.81226216963673037</v>
      </c>
      <c r="AQ10" s="20">
        <f>CALC_DMG(R10*$AK$1,AN10,$AI$2,1)*$AK$2+CALC_DMG(R10*$AL$1,AN10,$AI$2,1)*$AL$2+CALC_DMG(R10*$AM$1,AN10,$AI$2,1)*$AM$2</f>
        <v>225.70944000000003</v>
      </c>
      <c r="AR10" s="75">
        <f>AK10/AQ10</f>
        <v>1.3291424585520215</v>
      </c>
      <c r="AS10" s="20">
        <f>CALC_DMG(S10*$AK$1,AN10,$AI$2,1)*$AK$2+CALC_DMG(S10*$AL$1,AN10,$AI$2,1)*$AL$2+CALC_DMG(S10*$AM$1,AN10,$AI$2,1)*$AM$2</f>
        <v>82.08</v>
      </c>
      <c r="AT10" s="75">
        <f>AK10/AS10</f>
        <v>3.6549707602339181</v>
      </c>
      <c r="AV10" s="12">
        <f t="shared" si="14"/>
        <v>56.4</v>
      </c>
      <c r="AW10" s="15">
        <f t="shared" si="15"/>
        <v>180</v>
      </c>
      <c r="AX10" s="16">
        <f t="shared" si="16"/>
        <v>6</v>
      </c>
      <c r="AY10" s="17">
        <v>0</v>
      </c>
      <c r="AZ10" s="17">
        <f>AX10*(1+(0.02*AY10))</f>
        <v>6</v>
      </c>
      <c r="BA10" s="20">
        <f>[1]!CALC_DMG(Q10*$AK$1,AZ10,$AI$2,1)*$AK$2+[1]!CALC_DMG(Q10*$AL$1,AZ10,$AI$2,1)*$AL$2+[1]!CALC_DMG(Q10*$AM$1,AZ10,$AI$2,1)*$AM$2</f>
        <v>405.33879999999999</v>
      </c>
      <c r="BB10" s="75">
        <f t="shared" si="17"/>
        <v>0.44407295822655024</v>
      </c>
      <c r="BC10" s="20">
        <f>[1]!CALC_DMG(R10*$AK$1,AZ10,$AI$2,1)*$AK$2+[1]!CALC_DMG(R10*$AL$1,AZ10,$AI$2,1)*$AL$2+[1]!CALC_DMG(R10*$AM$1,AZ10,$AI$2,1)*$AM$2</f>
        <v>261.70960000000002</v>
      </c>
      <c r="BD10" s="75">
        <f t="shared" si="18"/>
        <v>0.68778523982307105</v>
      </c>
      <c r="BE10" s="20">
        <f>[1]!CALC_DMG(S10*$AK$1,AZ10,$AI$2,1)*$AK$2+[1]!CALC_DMG(S10*$AL$1,AZ10,$AI$2,1)*$AL$2+[1]!CALC_DMG(S10*$AM$1,AZ10,$AI$2,1)*$AM$2</f>
        <v>118.08</v>
      </c>
      <c r="BF10" s="75">
        <f t="shared" si="19"/>
        <v>1.524390243902439</v>
      </c>
    </row>
    <row r="11" spans="2:58" ht="24" customHeight="1" x14ac:dyDescent="0.15">
      <c r="B11" s="87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87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21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22">AVERAGE(Q12,S12)</f>
        <v>102.81499999999998</v>
      </c>
      <c r="S12" s="24">
        <v>72</v>
      </c>
      <c r="T12" s="25">
        <f>N12*(1+(O12*0.02))</f>
        <v>48</v>
      </c>
      <c r="U12" s="25">
        <f t="shared" ref="U12:U14" si="23">AVERAGE(T12,V12)</f>
        <v>34</v>
      </c>
      <c r="V12" s="25">
        <v>20</v>
      </c>
      <c r="W12" s="12">
        <f t="shared" ref="W12:W14" si="24">CALC_DMG(AJ12,T12,$D$2, P12)</f>
        <v>30.299999999999997</v>
      </c>
      <c r="X12" s="79">
        <f t="shared" ref="X12:X14" si="25">K12/W12</f>
        <v>17.821782178217823</v>
      </c>
      <c r="Y12" s="12" t="e">
        <f t="shared" ref="Y12:Y14" ca="1" si="26">CALC_DMG(AV12,T12,$D$2, P12)</f>
        <v>#NAME?</v>
      </c>
      <c r="Z12" s="79" t="e">
        <f t="shared" ref="Z12:Z14" ca="1" si="27">K12/Y12</f>
        <v>#NAME?</v>
      </c>
      <c r="AA12" s="15">
        <f t="shared" ref="AA12:AA14" si="28">CALC_DMG(AJ12,U12,$D$2,P12)</f>
        <v>44.3</v>
      </c>
      <c r="AB12" s="78">
        <f t="shared" ref="AB12:AB14" si="29">L12/AA12</f>
        <v>9.4808126410835225</v>
      </c>
      <c r="AC12" s="15" t="e">
        <f t="shared" ref="AC12:AC14" ca="1" si="30">CALC_DMG(AV12,U12,$D$2,P12)</f>
        <v>#NAME?</v>
      </c>
      <c r="AD12" s="78" t="e">
        <f t="shared" ref="AD12:AD14" ca="1" si="31">L12/AC12</f>
        <v>#NAME?</v>
      </c>
      <c r="AE12" s="22">
        <f t="shared" ref="AE12:AE14" si="32">CALC_DMG(AJ12,V12,$D$2,P12)</f>
        <v>58.3</v>
      </c>
      <c r="AF12" s="77">
        <f t="shared" si="11"/>
        <v>5.1457975986277873</v>
      </c>
      <c r="AG12" s="22" t="e">
        <f t="shared" ref="AG12:AG14" ca="1" si="33">CALC_DMG(AV12,V12,$D$2,P12)</f>
        <v>#NAME?</v>
      </c>
      <c r="AH12" s="77" t="e">
        <f t="shared" ref="AH12:AH14" ca="1" si="34">M12/AG12</f>
        <v>#NAME?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35">AL12*(1+(0.02*AM12))</f>
        <v>20</v>
      </c>
      <c r="AO12" s="20">
        <f>CALC_DMG(Q12*$AK$1,AN12,$AI$2,1)*$AK$2+CALC_DMG(Q12*$AL$1,AN12,$AI$2,1)*$AL$2+CALC_DMG(Q12*$AM$1,AN12,$AI$2,1)*$AM$2</f>
        <v>586.50167999999985</v>
      </c>
      <c r="AP12" s="75">
        <f>AK12/AO12</f>
        <v>1.3640199632505745</v>
      </c>
      <c r="AQ12" s="20">
        <f>CALC_DMG(R12*$AK$1,AN12,$AI$2,1)*$AK$2+CALC_DMG(R12*$AL$1,AN12,$AI$2,1)*$AL$2+CALC_DMG(R12*$AM$1,AN12,$AI$2,1)*$AM$2</f>
        <v>409.74683999999985</v>
      </c>
      <c r="AR12" s="75">
        <f>AK12/AQ12</f>
        <v>1.952425063241489</v>
      </c>
      <c r="AS12" s="20">
        <f>CALC_DMG(S12*$AK$1,AN12,$AI$2,1)*$AK$2+CALC_DMG(S12*$AL$1,AN12,$AI$2,1)*$AL$2+CALC_DMG(S12*$AM$1,AN12,$AI$2,1)*$AM$2</f>
        <v>232.99199999999996</v>
      </c>
      <c r="AT12" s="75">
        <f>AK12/AS12</f>
        <v>3.4335942864991078</v>
      </c>
      <c r="AV12" s="12">
        <f t="shared" ref="AV12:AV14" si="36">AJ12*$AV$2</f>
        <v>104.39999999999999</v>
      </c>
      <c r="AW12" s="15">
        <f t="shared" ref="AW12:AW14" si="37">AK12*$AW$2</f>
        <v>480</v>
      </c>
      <c r="AX12" s="16">
        <f t="shared" ref="AX12:AX14" si="38">AL12*$AX$2</f>
        <v>12</v>
      </c>
      <c r="AY12" s="17">
        <v>0</v>
      </c>
      <c r="AZ12" s="17">
        <f t="shared" ref="AZ12:AZ14" si="39">AX12*(1+(0.02*AY12))</f>
        <v>12</v>
      </c>
      <c r="BA12" s="20">
        <f>[1]!CALC_DMG(Q12*$AK$1,AZ12,$AI$2,1)*$AK$2+[1]!CALC_DMG(Q12*$AL$1,AZ12,$AI$2,1)*$AL$2+[1]!CALC_DMG(Q12*$AM$1,AZ12,$AI$2,1)*$AM$2</f>
        <v>658.50159999999994</v>
      </c>
      <c r="BB12" s="75">
        <f t="shared" ref="BB12:BB14" si="40">AW12/BA12</f>
        <v>0.7289276138433074</v>
      </c>
      <c r="BC12" s="20">
        <f>[1]!CALC_DMG(R12*$AK$1,AZ12,$AI$2,1)*$AK$2+[1]!CALC_DMG(R12*$AL$1,AZ12,$AI$2,1)*$AL$2+[1]!CALC_DMG(R12*$AM$1,AZ12,$AI$2,1)*$AM$2</f>
        <v>481.74700000000001</v>
      </c>
      <c r="BD12" s="75">
        <f t="shared" ref="BD12:BD14" si="41">AW12/BC12</f>
        <v>0.99637361519635825</v>
      </c>
      <c r="BE12" s="20">
        <f>[1]!CALC_DMG(S12*$AK$1,AZ12,$AI$2,1)*$AK$2+[1]!CALC_DMG(S12*$AL$1,AZ12,$AI$2,1)*$AL$2+[1]!CALC_DMG(S12*$AM$1,AZ12,$AI$2,1)*$AM$2</f>
        <v>304.99200000000002</v>
      </c>
      <c r="BF12" s="75">
        <f t="shared" ref="BF12:BF14" si="42">AW12/BE12</f>
        <v>1.5738117721120553</v>
      </c>
    </row>
    <row r="13" spans="2:58" ht="24" customHeight="1" x14ac:dyDescent="0.15">
      <c r="B13" s="81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21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22"/>
        <v>167.75</v>
      </c>
      <c r="S13" s="24">
        <v>115</v>
      </c>
      <c r="T13" s="25">
        <f>N13*(1+(O13*0.02))</f>
        <v>76.8</v>
      </c>
      <c r="U13" s="25">
        <f t="shared" si="23"/>
        <v>59.4</v>
      </c>
      <c r="V13" s="25">
        <v>42</v>
      </c>
      <c r="W13" s="12">
        <f t="shared" si="24"/>
        <v>46.45</v>
      </c>
      <c r="X13" s="79">
        <f t="shared" si="25"/>
        <v>15.931108719052745</v>
      </c>
      <c r="Y13" s="12" t="e">
        <f t="shared" ca="1" si="26"/>
        <v>#NAME?</v>
      </c>
      <c r="Z13" s="79" t="e">
        <f t="shared" ca="1" si="27"/>
        <v>#NAME?</v>
      </c>
      <c r="AA13" s="15">
        <f t="shared" si="28"/>
        <v>63.85</v>
      </c>
      <c r="AB13" s="78">
        <f t="shared" si="29"/>
        <v>9.7102584181675802</v>
      </c>
      <c r="AC13" s="15" t="e">
        <f t="shared" ca="1" si="30"/>
        <v>#NAME?</v>
      </c>
      <c r="AD13" s="78" t="e">
        <f t="shared" ca="1" si="31"/>
        <v>#NAME?</v>
      </c>
      <c r="AE13" s="22">
        <f t="shared" si="32"/>
        <v>81.25</v>
      </c>
      <c r="AF13" s="77">
        <f t="shared" si="11"/>
        <v>6.1538461538461542</v>
      </c>
      <c r="AG13" s="22" t="e">
        <f t="shared" ca="1" si="33"/>
        <v>#NAME?</v>
      </c>
      <c r="AH13" s="77" t="e">
        <f t="shared" ca="1" si="34"/>
        <v>#NAME?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35"/>
        <v>40</v>
      </c>
      <c r="AO13" s="20">
        <f>CALC_DMG(Q13*$AK$1,AN13,$AI$2,1)*$AK$2+CALC_DMG(Q13*$AL$1,AN13,$AI$2,1)*$AL$2+CALC_DMG(Q13*$AM$1,AN13,$AI$2,1)*$AM$2</f>
        <v>904.7879999999999</v>
      </c>
      <c r="AP13" s="75">
        <f>AK13/AO13</f>
        <v>1.2157544087675789</v>
      </c>
      <c r="AQ13" s="20">
        <f>CALC_DMG(R13*$AK$1,AN13,$AI$2,1)*$AK$2+CALC_DMG(R13*$AL$1,AN13,$AI$2,1)*$AL$2+CALC_DMG(R13*$AM$1,AN13,$AI$2,1)*$AM$2</f>
        <v>602.21399999999994</v>
      </c>
      <c r="AR13" s="75">
        <f>AK13/AQ13</f>
        <v>1.826593204409064</v>
      </c>
      <c r="AS13" s="20">
        <f>CALC_DMG(S13*$AK$1,AN13,$AI$2,1)*$AK$2+CALC_DMG(S13*$AL$1,AN13,$AI$2,1)*$AL$2+CALC_DMG(S13*$AM$1,AN13,$AI$2,1)*$AM$2</f>
        <v>299.64</v>
      </c>
      <c r="AT13" s="75">
        <f>AK13/AS13</f>
        <v>3.6710719530102791</v>
      </c>
      <c r="AV13" s="12">
        <f t="shared" si="36"/>
        <v>174</v>
      </c>
      <c r="AW13" s="15">
        <f t="shared" si="37"/>
        <v>660</v>
      </c>
      <c r="AX13" s="16">
        <f t="shared" si="38"/>
        <v>24</v>
      </c>
      <c r="AY13" s="17">
        <v>0</v>
      </c>
      <c r="AZ13" s="17">
        <f t="shared" si="39"/>
        <v>24</v>
      </c>
      <c r="BA13" s="20">
        <f>[1]!CALC_DMG(Q13*$AK$1,AZ13,$AI$2,1)*$AK$2+[1]!CALC_DMG(Q13*$AL$1,AZ13,$AI$2,1)*$AL$2+[1]!CALC_DMG(Q13*$AM$1,AZ13,$AI$2,1)*$AM$2</f>
        <v>1048.788</v>
      </c>
      <c r="BB13" s="75">
        <f t="shared" si="40"/>
        <v>0.62929781805283813</v>
      </c>
      <c r="BC13" s="20">
        <f>[1]!CALC_DMG(R13*$AK$1,AZ13,$AI$2,1)*$AK$2+[1]!CALC_DMG(R13*$AL$1,AZ13,$AI$2,1)*$AL$2+[1]!CALC_DMG(R13*$AM$1,AZ13,$AI$2,1)*$AM$2</f>
        <v>746.21399999999994</v>
      </c>
      <c r="BD13" s="75">
        <f t="shared" si="41"/>
        <v>0.88446477820035552</v>
      </c>
      <c r="BE13" s="20">
        <f>[1]!CALC_DMG(S13*$AK$1,AZ13,$AI$2,1)*$AK$2+[1]!CALC_DMG(S13*$AL$1,AZ13,$AI$2,1)*$AL$2+[1]!CALC_DMG(S13*$AM$1,AZ13,$AI$2,1)*$AM$2</f>
        <v>443.64</v>
      </c>
      <c r="BF13" s="75">
        <f t="shared" si="42"/>
        <v>1.4876927238301325</v>
      </c>
    </row>
    <row r="14" spans="2:58" ht="24" customHeight="1" x14ac:dyDescent="0.15">
      <c r="B14" s="81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21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22"/>
        <v>339.10749999999996</v>
      </c>
      <c r="S14" s="24">
        <v>320</v>
      </c>
      <c r="T14" s="25">
        <f>N14*(1+(O14*0.02))</f>
        <v>108.79999999999998</v>
      </c>
      <c r="U14" s="25">
        <f t="shared" si="23"/>
        <v>89.399999999999991</v>
      </c>
      <c r="V14" s="25">
        <v>70</v>
      </c>
      <c r="W14" s="12">
        <f t="shared" si="24"/>
        <v>73.950000000000017</v>
      </c>
      <c r="X14" s="79">
        <f t="shared" si="25"/>
        <v>13.522650439486137</v>
      </c>
      <c r="Y14" s="12" t="e">
        <f t="shared" ca="1" si="26"/>
        <v>#NAME?</v>
      </c>
      <c r="Z14" s="79" t="e">
        <f t="shared" ca="1" si="27"/>
        <v>#NAME?</v>
      </c>
      <c r="AA14" s="15">
        <f t="shared" si="28"/>
        <v>93.350000000000009</v>
      </c>
      <c r="AB14" s="78">
        <f t="shared" si="29"/>
        <v>9.1055168719871435</v>
      </c>
      <c r="AC14" s="15" t="e">
        <f t="shared" ca="1" si="30"/>
        <v>#NAME?</v>
      </c>
      <c r="AD14" s="78" t="e">
        <f t="shared" ca="1" si="31"/>
        <v>#NAME?</v>
      </c>
      <c r="AE14" s="22">
        <f t="shared" si="32"/>
        <v>112.75</v>
      </c>
      <c r="AF14" s="77">
        <f t="shared" si="11"/>
        <v>6.2084257206208422</v>
      </c>
      <c r="AG14" s="22" t="e">
        <f t="shared" ca="1" si="33"/>
        <v>#NAME?</v>
      </c>
      <c r="AH14" s="77" t="e">
        <f t="shared" ca="1" si="34"/>
        <v>#NAME?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35"/>
        <v>60</v>
      </c>
      <c r="AO14" s="20">
        <f>CALC_DMG(Q14*$AK$1,AN14,$AI$2,1)*$AK$2+CALC_DMG(Q14*$AL$1,AN14,$AI$2,1)*$AL$2+CALC_DMG(Q14*$AM$1,AN14,$AI$2,1)*$AM$2</f>
        <v>1514.7212399999996</v>
      </c>
      <c r="AP14" s="75">
        <f>AK14/AO14</f>
        <v>2.6407499243887282</v>
      </c>
      <c r="AQ14" s="20">
        <f>CALC_DMG(R14*$AK$1,AN14,$AI$2,1)*$AK$2+CALC_DMG(R14*$AL$1,AN14,$AI$2,1)*$AL$2+CALC_DMG(R14*$AM$1,AN14,$AI$2,1)*$AM$2</f>
        <v>1405.1206199999997</v>
      </c>
      <c r="AR14" s="75">
        <f>AK14/AQ14</f>
        <v>2.8467306956181462</v>
      </c>
      <c r="AS14" s="20">
        <f>CALC_DMG(S14*$AK$1,AN14,$AI$2,1)*$AK$2+CALC_DMG(S14*$AL$1,AN14,$AI$2,1)*$AL$2+CALC_DMG(S14*$AM$1,AN14,$AI$2,1)*$AM$2</f>
        <v>1295.52</v>
      </c>
      <c r="AT14" s="75">
        <f>AK14/AS14</f>
        <v>3.0875632950475485</v>
      </c>
      <c r="AV14" s="12">
        <f t="shared" si="36"/>
        <v>258</v>
      </c>
      <c r="AW14" s="15">
        <f t="shared" si="37"/>
        <v>2400</v>
      </c>
      <c r="AX14" s="16">
        <f t="shared" si="38"/>
        <v>36</v>
      </c>
      <c r="AY14" s="17">
        <v>0</v>
      </c>
      <c r="AZ14" s="17">
        <f t="shared" si="39"/>
        <v>36</v>
      </c>
      <c r="BA14" s="20">
        <f>[1]!CALC_DMG(Q14*$AK$1,AZ14,$AI$2,1)*$AK$2+[1]!CALC_DMG(Q14*$AL$1,AZ14,$AI$2,1)*$AL$2+[1]!CALC_DMG(Q14*$AM$1,AZ14,$AI$2,1)*$AM$2</f>
        <v>1730.7213999999999</v>
      </c>
      <c r="BB14" s="75">
        <f t="shared" si="40"/>
        <v>1.3867049890294303</v>
      </c>
      <c r="BC14" s="20">
        <f>[1]!CALC_DMG(R14*$AK$1,AZ14,$AI$2,1)*$AK$2+[1]!CALC_DMG(R14*$AL$1,AZ14,$AI$2,1)*$AL$2+[1]!CALC_DMG(R14*$AM$1,AZ14,$AI$2,1)*$AM$2</f>
        <v>1621.1206999999999</v>
      </c>
      <c r="BD14" s="75">
        <f t="shared" si="41"/>
        <v>1.4804573157322587</v>
      </c>
      <c r="BE14" s="20">
        <f>[1]!CALC_DMG(S14*$AK$1,AZ14,$AI$2,1)*$AK$2+[1]!CALC_DMG(S14*$AL$1,AZ14,$AI$2,1)*$AL$2+[1]!CALC_DMG(S14*$AM$1,AZ14,$AI$2,1)*$AM$2</f>
        <v>1511.52</v>
      </c>
      <c r="BF14" s="75">
        <f t="shared" si="42"/>
        <v>1.5878056525881232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1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43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44">AVERAGE(Q16,S16)</f>
        <v>447.15999999999997</v>
      </c>
      <c r="S16" s="24">
        <v>350</v>
      </c>
      <c r="T16" s="25">
        <f>N16*(1+(O16*0.02))</f>
        <v>167.2</v>
      </c>
      <c r="U16" s="25">
        <f t="shared" ref="U16:U18" si="45">AVERAGE(T16,V16)</f>
        <v>131.1</v>
      </c>
      <c r="V16" s="25">
        <v>95</v>
      </c>
      <c r="W16" s="12">
        <f t="shared" ref="W16:W18" si="46">CALC_DMG(AJ16,T16,$D$2, P16)</f>
        <v>92.800000000000011</v>
      </c>
      <c r="X16" s="79">
        <f t="shared" ref="X16:X18" si="47">K16/W16</f>
        <v>14.008620689655171</v>
      </c>
      <c r="Y16" s="12" t="e">
        <f t="shared" ref="Y16:Y18" ca="1" si="48">CALC_DMG(AV16,T16,$D$2, P16)</f>
        <v>#NAME?</v>
      </c>
      <c r="Z16" s="79" t="e">
        <f t="shared" ref="Z16:Z18" ca="1" si="49">K16/Y16</f>
        <v>#NAME?</v>
      </c>
      <c r="AA16" s="15">
        <f t="shared" ref="AA16:AA18" si="50">CALC_DMG(AJ16,U16,$D$2,P16)</f>
        <v>128.9</v>
      </c>
      <c r="AB16" s="78">
        <f t="shared" ref="AB16:AB18" si="51">L16/AA16</f>
        <v>8.9216446858029474</v>
      </c>
      <c r="AC16" s="15" t="e">
        <f t="shared" ref="AC16:AC18" ca="1" si="52">CALC_DMG(AV16,U16,$D$2,P16)</f>
        <v>#NAME?</v>
      </c>
      <c r="AD16" s="78" t="e">
        <f t="shared" ref="AD16:AD18" ca="1" si="53">L16/AC16</f>
        <v>#NAME?</v>
      </c>
      <c r="AE16" s="22">
        <f t="shared" ref="AE16:AE18" si="54">CALC_DMG(AJ16,V16,$D$2,P16)</f>
        <v>165</v>
      </c>
      <c r="AF16" s="77">
        <f t="shared" si="11"/>
        <v>6.0606060606060606</v>
      </c>
      <c r="AG16" s="22" t="e">
        <f t="shared" ref="AG16:AG18" ca="1" si="55">CALC_DMG(AV16,V16,$D$2,P16)</f>
        <v>#NAME?</v>
      </c>
      <c r="AH16" s="77" t="e">
        <f t="shared" ref="AH16:AH18" ca="1" si="56">M16/AG16</f>
        <v>#NAME?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57">AL16*(1+(0.02*AM16))</f>
        <v>80</v>
      </c>
      <c r="AO16" s="20">
        <f>CALC_DMG(Q16*$AK$1,AN16,$AI$2,1)*$AK$2+CALC_DMG(Q16*$AL$1,AN16,$AI$2,1)*$AL$2+CALC_DMG(Q16*$AM$1,AN16,$AI$2,1)*$AM$2</f>
        <v>2402.2195199999996</v>
      </c>
      <c r="AP16" s="75">
        <f>AK16/AO16</f>
        <v>1.8732676021215582</v>
      </c>
      <c r="AQ16" s="20">
        <f>CALC_DMG(R16*$AK$1,AN16,$AI$2,1)*$AK$2+CALC_DMG(R16*$AL$1,AN16,$AI$2,1)*$AL$2+CALC_DMG(R16*$AM$1,AN16,$AI$2,1)*$AM$2</f>
        <v>1844.9097599999996</v>
      </c>
      <c r="AR16" s="75">
        <f>AK16/AQ16</f>
        <v>2.4391436901499186</v>
      </c>
      <c r="AS16" s="20">
        <f>CALC_DMG(S16*$AK$1,AN16,$AI$2,1)*$AK$2+CALC_DMG(S16*$AL$1,AN16,$AI$2,1)*$AL$2+CALC_DMG(S16*$AM$1,AN16,$AI$2,1)*$AM$2</f>
        <v>1287.5999999999999</v>
      </c>
      <c r="AT16" s="75">
        <f>AK16/AS16</f>
        <v>3.4948741845293574</v>
      </c>
      <c r="AV16" s="12">
        <f t="shared" ref="AV16:AV18" si="58">AJ16*$AV$2</f>
        <v>390</v>
      </c>
      <c r="AW16" s="15">
        <f t="shared" ref="AW16:AW18" si="59">AK16*$AW$2</f>
        <v>2700</v>
      </c>
      <c r="AX16" s="16">
        <f t="shared" ref="AX16:AX18" si="60">AL16*$AX$2</f>
        <v>48</v>
      </c>
      <c r="AY16" s="17">
        <v>0</v>
      </c>
      <c r="AZ16" s="17">
        <f t="shared" ref="AZ16:AZ18" si="61">AX16*(1+(0.02*AY16))</f>
        <v>48</v>
      </c>
      <c r="BA16" s="20">
        <f>[1]!CALC_DMG(Q16*$AK$1,AZ16,$AI$2,1)*$AK$2+[1]!CALC_DMG(Q16*$AL$1,AZ16,$AI$2,1)*$AL$2+[1]!CALC_DMG(Q16*$AM$1,AZ16,$AI$2,1)*$AM$2</f>
        <v>2690.2196000000004</v>
      </c>
      <c r="BB16" s="75">
        <f t="shared" ref="BB16:BB18" si="62">AW16/BA16</f>
        <v>1.0036355396414478</v>
      </c>
      <c r="BC16" s="20">
        <f>[1]!CALC_DMG(R16*$AK$1,AZ16,$AI$2,1)*$AK$2+[1]!CALC_DMG(R16*$AL$1,AZ16,$AI$2,1)*$AL$2+[1]!CALC_DMG(R16*$AM$1,AZ16,$AI$2,1)*$AM$2</f>
        <v>2132.9096</v>
      </c>
      <c r="BD16" s="75">
        <f t="shared" ref="BD16:BD18" si="63">AW16/BC16</f>
        <v>1.2658764347068436</v>
      </c>
      <c r="BE16" s="20">
        <f>[1]!CALC_DMG(S16*$AK$1,AZ16,$AI$2,1)*$AK$2+[1]!CALC_DMG(S16*$AL$1,AZ16,$AI$2,1)*$AL$2+[1]!CALC_DMG(S16*$AM$1,AZ16,$AI$2,1)*$AM$2</f>
        <v>1575.6</v>
      </c>
      <c r="BF16" s="75">
        <f t="shared" ref="BF16:BF18" si="64">AW16/BE16</f>
        <v>1.7136329017517138</v>
      </c>
    </row>
    <row r="17" spans="2:58" ht="24" customHeight="1" x14ac:dyDescent="0.15">
      <c r="B17" s="81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43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44"/>
        <v>670.72499999999991</v>
      </c>
      <c r="S17" s="24">
        <v>540</v>
      </c>
      <c r="T17" s="25">
        <f>N17*(1+(O17*0.02))</f>
        <v>235.20000000000002</v>
      </c>
      <c r="U17" s="25">
        <f t="shared" si="45"/>
        <v>195.10000000000002</v>
      </c>
      <c r="V17" s="25">
        <v>155</v>
      </c>
      <c r="W17" s="12">
        <f t="shared" si="46"/>
        <v>132.79999999999998</v>
      </c>
      <c r="X17" s="79">
        <f t="shared" si="47"/>
        <v>12.04819277108434</v>
      </c>
      <c r="Y17" s="12" t="e">
        <f t="shared" ca="1" si="48"/>
        <v>#NAME?</v>
      </c>
      <c r="Z17" s="79" t="e">
        <f t="shared" ca="1" si="49"/>
        <v>#NAME?</v>
      </c>
      <c r="AA17" s="15">
        <f t="shared" si="50"/>
        <v>172.89999999999998</v>
      </c>
      <c r="AB17" s="78">
        <f t="shared" si="51"/>
        <v>8.3863504916136513</v>
      </c>
      <c r="AC17" s="15" t="e">
        <f t="shared" ca="1" si="52"/>
        <v>#NAME?</v>
      </c>
      <c r="AD17" s="78" t="e">
        <f t="shared" ca="1" si="53"/>
        <v>#NAME?</v>
      </c>
      <c r="AE17" s="22">
        <f t="shared" si="54"/>
        <v>213</v>
      </c>
      <c r="AF17" s="77">
        <f t="shared" si="11"/>
        <v>6.103286384976526</v>
      </c>
      <c r="AG17" s="22" t="e">
        <f t="shared" ca="1" si="55"/>
        <v>#NAME?</v>
      </c>
      <c r="AH17" s="77" t="e">
        <f t="shared" ca="1" si="56"/>
        <v>#NAME?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57"/>
        <v>110</v>
      </c>
      <c r="AO17" s="20">
        <f>CALC_DMG(Q17*$AK$1,AN17,$AI$2,1)*$AK$2+CALC_DMG(Q17*$AL$1,AN17,$AI$2,1)*$AL$2+CALC_DMG(Q17*$AM$1,AN17,$AI$2,1)*$AM$2</f>
        <v>3607.1171999999992</v>
      </c>
      <c r="AP17" s="75">
        <f>AK17/AO17</f>
        <v>2.2178375573712996</v>
      </c>
      <c r="AQ17" s="20">
        <f>CALC_DMG(R17*$AK$1,AN17,$AI$2,1)*$AK$2+CALC_DMG(R17*$AL$1,AN17,$AI$2,1)*$AL$2+CALC_DMG(R17*$AM$1,AN17,$AI$2,1)*$AM$2</f>
        <v>2857.2785999999992</v>
      </c>
      <c r="AR17" s="75">
        <f>AK17/AQ17</f>
        <v>2.7998669783198609</v>
      </c>
      <c r="AS17" s="20">
        <f>CALC_DMG(S17*$AK$1,AN17,$AI$2,1)*$AK$2+CALC_DMG(S17*$AL$1,AN17,$AI$2,1)*$AL$2+CALC_DMG(S17*$AM$1,AN17,$AI$2,1)*$AM$2</f>
        <v>2107.4399999999996</v>
      </c>
      <c r="AT17" s="75">
        <f>AK17/AS17</f>
        <v>3.7960748585962123</v>
      </c>
      <c r="AV17" s="12">
        <f t="shared" si="58"/>
        <v>552</v>
      </c>
      <c r="AW17" s="15">
        <f t="shared" si="59"/>
        <v>4800</v>
      </c>
      <c r="AX17" s="16">
        <f t="shared" si="60"/>
        <v>66</v>
      </c>
      <c r="AY17" s="17">
        <v>0</v>
      </c>
      <c r="AZ17" s="17">
        <f t="shared" si="61"/>
        <v>66</v>
      </c>
      <c r="BA17" s="20">
        <f>[1]!CALC_DMG(Q17*$AK$1,AZ17,$AI$2,1)*$AK$2+[1]!CALC_DMG(Q17*$AL$1,AZ17,$AI$2,1)*$AL$2+[1]!CALC_DMG(Q17*$AM$1,AZ17,$AI$2,1)*$AM$2</f>
        <v>4003.1171999999997</v>
      </c>
      <c r="BB17" s="75">
        <f t="shared" si="62"/>
        <v>1.1990655682026998</v>
      </c>
      <c r="BC17" s="20">
        <f>[1]!CALC_DMG(R17*$AK$1,AZ17,$AI$2,1)*$AK$2+[1]!CALC_DMG(R17*$AL$1,AZ17,$AI$2,1)*$AL$2+[1]!CALC_DMG(R17*$AM$1,AZ17,$AI$2,1)*$AM$2</f>
        <v>3253.279</v>
      </c>
      <c r="BD17" s="75">
        <f t="shared" si="63"/>
        <v>1.4754344770307126</v>
      </c>
      <c r="BE17" s="20">
        <f>[1]!CALC_DMG(S17*$AK$1,AZ17,$AI$2,1)*$AK$2+[1]!CALC_DMG(S17*$AL$1,AZ17,$AI$2,1)*$AL$2+[1]!CALC_DMG(S17*$AM$1,AZ17,$AI$2,1)*$AM$2</f>
        <v>2503.44</v>
      </c>
      <c r="BF17" s="75">
        <f t="shared" si="64"/>
        <v>1.9173617102866456</v>
      </c>
    </row>
    <row r="18" spans="2:58" ht="24" customHeight="1" x14ac:dyDescent="0.15">
      <c r="B18" s="81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43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44"/>
        <v>957.7600000000001</v>
      </c>
      <c r="S18" s="24">
        <v>800</v>
      </c>
      <c r="T18" s="25">
        <f>N18*(1+(O18*0.02))</f>
        <v>312.79999999999995</v>
      </c>
      <c r="U18" s="25">
        <f t="shared" si="45"/>
        <v>271.39999999999998</v>
      </c>
      <c r="V18" s="25">
        <v>230</v>
      </c>
      <c r="W18" s="12">
        <f t="shared" si="46"/>
        <v>177.2</v>
      </c>
      <c r="X18" s="79">
        <f t="shared" si="47"/>
        <v>10.72234762979684</v>
      </c>
      <c r="Y18" s="12" t="e">
        <f t="shared" ca="1" si="48"/>
        <v>#NAME?</v>
      </c>
      <c r="Z18" s="79" t="e">
        <f t="shared" ca="1" si="49"/>
        <v>#NAME?</v>
      </c>
      <c r="AA18" s="15">
        <f t="shared" si="50"/>
        <v>218.59999999999997</v>
      </c>
      <c r="AB18" s="78">
        <f t="shared" si="51"/>
        <v>8.005489478499543</v>
      </c>
      <c r="AC18" s="15" t="e">
        <f t="shared" ca="1" si="52"/>
        <v>#NAME?</v>
      </c>
      <c r="AD18" s="78" t="e">
        <f t="shared" ca="1" si="53"/>
        <v>#NAME?</v>
      </c>
      <c r="AE18" s="22">
        <f t="shared" si="54"/>
        <v>259.99999999999994</v>
      </c>
      <c r="AF18" s="77">
        <f t="shared" si="11"/>
        <v>6.1538461538461551</v>
      </c>
      <c r="AG18" s="22" t="e">
        <f t="shared" ca="1" si="55"/>
        <v>#NAME?</v>
      </c>
      <c r="AH18" s="77" t="e">
        <f t="shared" ca="1" si="56"/>
        <v>#NAME?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57"/>
        <v>145</v>
      </c>
      <c r="AO18" s="20">
        <f>CALC_DMG(Q18*$AK$1,AN18,$AI$2,1)*$AK$2+CALC_DMG(Q18*$AL$1,AN18,$AI$2,1)*$AL$2+CALC_DMG(Q18*$AM$1,AN18,$AI$2,1)*$AM$2</f>
        <v>5093.6227200000012</v>
      </c>
      <c r="AP18" s="75">
        <f>AK18/AO18</f>
        <v>2.5522110125973358</v>
      </c>
      <c r="AQ18" s="20">
        <f>CALC_DMG(R18*$AK$1,AN18,$AI$2,1)*$AK$2+CALC_DMG(R18*$AL$1,AN18,$AI$2,1)*$AL$2+CALC_DMG(R18*$AM$1,AN18,$AI$2,1)*$AM$2</f>
        <v>4188.7113600000002</v>
      </c>
      <c r="AR18" s="75">
        <f>AK18/AQ18</f>
        <v>3.1035798083733321</v>
      </c>
      <c r="AS18" s="20">
        <f>CALC_DMG(S18*$AK$1,AN18,$AI$2,1)*$AK$2+CALC_DMG(S18*$AL$1,AN18,$AI$2,1)*$AL$2+CALC_DMG(S18*$AM$1,AN18,$AI$2,1)*$AM$2</f>
        <v>3283.8</v>
      </c>
      <c r="AT18" s="75">
        <f>AK18/AS18</f>
        <v>3.9588281868566901</v>
      </c>
      <c r="AV18" s="12">
        <f t="shared" si="58"/>
        <v>840</v>
      </c>
      <c r="AW18" s="15">
        <f t="shared" si="59"/>
        <v>7800</v>
      </c>
      <c r="AX18" s="16">
        <f t="shared" si="60"/>
        <v>87</v>
      </c>
      <c r="AY18" s="17">
        <v>0</v>
      </c>
      <c r="AZ18" s="17">
        <f t="shared" si="61"/>
        <v>87</v>
      </c>
      <c r="BA18" s="20">
        <f>[1]!CALC_DMG(Q18*$AK$1,AZ18,$AI$2,1)*$AK$2+[1]!CALC_DMG(Q18*$AL$1,AZ18,$AI$2,1)*$AL$2+[1]!CALC_DMG(Q18*$AM$1,AZ18,$AI$2,1)*$AM$2</f>
        <v>5615.6227999999992</v>
      </c>
      <c r="BB18" s="75">
        <f t="shared" si="62"/>
        <v>1.3889821802133864</v>
      </c>
      <c r="BC18" s="20">
        <f>[1]!CALC_DMG(R18*$AK$1,AZ18,$AI$2,1)*$AK$2+[1]!CALC_DMG(R18*$AL$1,AZ18,$AI$2,1)*$AL$2+[1]!CALC_DMG(R18*$AM$1,AZ18,$AI$2,1)*$AM$2</f>
        <v>4710.7112000000006</v>
      </c>
      <c r="BD18" s="75">
        <f t="shared" si="63"/>
        <v>1.6558009329886321</v>
      </c>
      <c r="BE18" s="20">
        <f>[1]!CALC_DMG(S18*$AK$1,AZ18,$AI$2,1)*$AK$2+[1]!CALC_DMG(S18*$AL$1,AZ18,$AI$2,1)*$AL$2+[1]!CALC_DMG(S18*$AM$1,AZ18,$AI$2,1)*$AM$2</f>
        <v>3805.8</v>
      </c>
      <c r="BF18" s="75">
        <f t="shared" si="64"/>
        <v>2.0495033895632981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1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65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66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67">AVERAGE(T20,V20)</f>
        <v>369.20000000000005</v>
      </c>
      <c r="V20" s="25">
        <v>310</v>
      </c>
      <c r="W20" s="12">
        <f t="shared" ref="W20:W21" si="68">CALC_DMG(AJ20,T20,$D$2, P20)</f>
        <v>185.84999999999997</v>
      </c>
      <c r="X20" s="79">
        <f t="shared" ref="X20:X21" si="69">K20/W20</f>
        <v>10.868980360505786</v>
      </c>
      <c r="Y20" s="12" t="e">
        <f t="shared" ref="Y20:Y21" ca="1" si="70">CALC_DMG(AV20,T20,$D$2, P20)</f>
        <v>#NAME?</v>
      </c>
      <c r="Z20" s="79" t="e">
        <f t="shared" ref="Z20:Z21" ca="1" si="71">K20/Y20</f>
        <v>#NAME?</v>
      </c>
      <c r="AA20" s="15">
        <f t="shared" ref="AA20:AA21" si="72">CALC_DMG(AJ20,U20,$D$2,P20)</f>
        <v>245.04999999999995</v>
      </c>
      <c r="AB20" s="78">
        <f t="shared" ref="AB20:AB21" si="73">L20/AA20</f>
        <v>7.9983676800652939</v>
      </c>
      <c r="AC20" s="15" t="e">
        <f t="shared" ref="AC20:AC21" ca="1" si="74">CALC_DMG(AV20,U20,$D$2,P20)</f>
        <v>#NAME?</v>
      </c>
      <c r="AD20" s="78" t="e">
        <f t="shared" ref="AD20:AD21" ca="1" si="75">L20/AC20</f>
        <v>#NAME?</v>
      </c>
      <c r="AE20" s="22">
        <f t="shared" ref="AE20:AE21" si="76">CALC_DMG(AJ20,V20,$D$2,P20)</f>
        <v>304.25</v>
      </c>
      <c r="AF20" s="77">
        <f t="shared" si="11"/>
        <v>6.2448644207066559</v>
      </c>
      <c r="AG20" s="22" t="e">
        <f t="shared" ref="AG20:AG21" ca="1" si="77">CALC_DMG(AV20,V20,$D$2,P20)</f>
        <v>#NAME?</v>
      </c>
      <c r="AH20" s="77" t="e">
        <f t="shared" ref="AH20:AH21" ca="1" si="78">M20/AG20</f>
        <v>#NAME?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79">AL20*(1+(0.02*AM20))</f>
        <v>180</v>
      </c>
      <c r="AO20" s="20">
        <f>CALC_DMG(Q20*$AK$1,AN20,$AI$2,1)*$AK$2+CALC_DMG(Q20*$AL$1,AN20,$AI$2,1)*$AL$2+CALC_DMG(Q20*$AM$1,AN20,$AI$2,1)*$AM$2</f>
        <v>9327.5144999999993</v>
      </c>
      <c r="AP20" s="75">
        <f>AK20/AO20</f>
        <v>2.0369842362614392</v>
      </c>
      <c r="AQ20" s="20">
        <f>CALC_DMG(R20*$AK$1,AN20,$AI$2,1)*$AK$2+CALC_DMG(R20*$AL$1,AN20,$AI$2,1)*$AL$2+CALC_DMG(R20*$AM$1,AN20,$AI$2,1)*$AM$2</f>
        <v>7008.5572499999998</v>
      </c>
      <c r="AR20" s="75">
        <f>AK20/AQ20</f>
        <v>2.710971648266125</v>
      </c>
      <c r="AS20" s="20">
        <f>CALC_DMG(S20*$AK$1,AN20,$AI$2,1)*$AK$2+CALC_DMG(S20*$AL$1,AN20,$AI$2,1)*$AL$2+CALC_DMG(S20*$AM$1,AN20,$AI$2,1)*$AM$2</f>
        <v>4689.5999999999995</v>
      </c>
      <c r="AT20" s="75">
        <f>AK20/AS20</f>
        <v>4.05151825315592</v>
      </c>
      <c r="AV20" s="12">
        <f t="shared" ref="AV20:AV21" si="80">AJ20*$AV$2</f>
        <v>1134</v>
      </c>
      <c r="AW20" s="15">
        <f t="shared" ref="AW20:AW21" si="81">AK20*$AW$2</f>
        <v>11400</v>
      </c>
      <c r="AX20" s="16">
        <f t="shared" ref="AX20:AX21" si="82">AL20*$AX$2</f>
        <v>108</v>
      </c>
      <c r="AY20" s="17">
        <v>0</v>
      </c>
      <c r="AZ20" s="17">
        <f t="shared" ref="AZ20:AZ21" si="83">AX20*(1+(0.02*AY20))</f>
        <v>108</v>
      </c>
      <c r="BA20" s="20">
        <f>[1]!CALC_DMG(Q20*$AK$1,AZ20,$AI$2,1)*$AK$2+[1]!CALC_DMG(Q20*$AL$1,AZ20,$AI$2,1)*$AL$2+[1]!CALC_DMG(Q20*$AM$1,AZ20,$AI$2,1)*$AM$2</f>
        <v>9975.5145000000011</v>
      </c>
      <c r="BB20" s="75">
        <f t="shared" ref="BB20:BB21" si="84">AW20/BA20</f>
        <v>1.1427981985290081</v>
      </c>
      <c r="BC20" s="20">
        <f>[1]!CALC_DMG(R20*$AK$1,AZ20,$AI$2,1)*$AK$2+[1]!CALC_DMG(R20*$AL$1,AZ20,$AI$2,1)*$AL$2+[1]!CALC_DMG(R20*$AM$1,AZ20,$AI$2,1)*$AM$2</f>
        <v>7656.5573000000004</v>
      </c>
      <c r="BD20" s="75">
        <f t="shared" ref="BD20:BD21" si="85">AW20/BC20</f>
        <v>1.488919830848781</v>
      </c>
      <c r="BE20" s="20">
        <f>[1]!CALC_DMG(S20*$AK$1,AZ20,$AI$2,1)*$AK$2+[1]!CALC_DMG(S20*$AL$1,AZ20,$AI$2,1)*$AL$2+[1]!CALC_DMG(S20*$AM$1,AZ20,$AI$2,1)*$AM$2</f>
        <v>5337.6</v>
      </c>
      <c r="BF20" s="75">
        <f t="shared" ref="BF20:BF21" si="86">AW20/BE20</f>
        <v>2.1357913669064748</v>
      </c>
    </row>
    <row r="21" spans="2:58" ht="24" customHeight="1" x14ac:dyDescent="0.15">
      <c r="B21" s="81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65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66"/>
        <v>2368.16</v>
      </c>
      <c r="S21" s="24">
        <v>1900</v>
      </c>
      <c r="T21" s="25">
        <f>N21*(1+(O21*0.02))</f>
        <v>570.00000000000011</v>
      </c>
      <c r="U21" s="25">
        <f t="shared" si="67"/>
        <v>495.00000000000006</v>
      </c>
      <c r="V21" s="25">
        <v>420</v>
      </c>
      <c r="W21" s="12">
        <f t="shared" si="68"/>
        <v>209.99999999999989</v>
      </c>
      <c r="X21" s="79">
        <f t="shared" si="69"/>
        <v>13.809523809523817</v>
      </c>
      <c r="Y21" s="12" t="e">
        <f t="shared" ca="1" si="70"/>
        <v>#NAME?</v>
      </c>
      <c r="Z21" s="79" t="e">
        <f t="shared" ca="1" si="71"/>
        <v>#NAME?</v>
      </c>
      <c r="AA21" s="15">
        <f t="shared" si="72"/>
        <v>284.99999999999994</v>
      </c>
      <c r="AB21" s="78">
        <f t="shared" si="73"/>
        <v>8.5964912280701764</v>
      </c>
      <c r="AC21" s="15" t="e">
        <f t="shared" ca="1" si="74"/>
        <v>#NAME?</v>
      </c>
      <c r="AD21" s="78" t="e">
        <f t="shared" ca="1" si="75"/>
        <v>#NAME?</v>
      </c>
      <c r="AE21" s="22">
        <f t="shared" si="76"/>
        <v>360</v>
      </c>
      <c r="AF21" s="77">
        <f t="shared" si="11"/>
        <v>5.5555555555555554</v>
      </c>
      <c r="AG21" s="22" t="e">
        <f t="shared" ca="1" si="77"/>
        <v>#NAME?</v>
      </c>
      <c r="AH21" s="77" t="e">
        <f t="shared" ca="1" si="78"/>
        <v>#NAME?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79"/>
        <v>220</v>
      </c>
      <c r="AO21" s="20">
        <f>CALC_DMG(Q21*$AK$1,AN21,$AI$2,1)*$AK$2+CALC_DMG(Q21*$AL$1,AN21,$AI$2,1)*$AL$2+CALC_DMG(Q21*$AM$1,AN21,$AI$2,1)*$AM$2</f>
        <v>14289.131519999999</v>
      </c>
      <c r="AP21" s="75">
        <f>AK21/AO21</f>
        <v>2.6593638631440073</v>
      </c>
      <c r="AQ21" s="20">
        <f>CALC_DMG(R21*$AK$1,AN21,$AI$2,1)*$AK$2+CALC_DMG(R21*$AL$1,AN21,$AI$2,1)*$AL$2+CALC_DMG(R21*$AM$1,AN21,$AI$2,1)*$AM$2</f>
        <v>11603.765759999998</v>
      </c>
      <c r="AR21" s="75">
        <f>AK21/AQ21</f>
        <v>3.2747989563002009</v>
      </c>
      <c r="AS21" s="20">
        <f>CALC_DMG(S21*$AK$1,AN21,$AI$2,1)*$AK$2+CALC_DMG(S21*$AL$1,AN21,$AI$2,1)*$AL$2+CALC_DMG(S21*$AM$1,AN21,$AI$2,1)*$AM$2</f>
        <v>8918.4</v>
      </c>
      <c r="AT21" s="75">
        <f>AK21/AS21</f>
        <v>4.2608539648367421</v>
      </c>
      <c r="AV21" s="12">
        <f t="shared" si="80"/>
        <v>1560</v>
      </c>
      <c r="AW21" s="15">
        <f t="shared" si="81"/>
        <v>22800</v>
      </c>
      <c r="AX21" s="16">
        <f t="shared" si="82"/>
        <v>132</v>
      </c>
      <c r="AY21" s="17">
        <v>0</v>
      </c>
      <c r="AZ21" s="17">
        <f t="shared" si="83"/>
        <v>132</v>
      </c>
      <c r="BA21" s="20">
        <f>[1]!CALC_DMG(Q21*$AK$1,AZ21,$AI$2,1)*$AK$2+[1]!CALC_DMG(Q21*$AL$1,AZ21,$AI$2,1)*$AL$2+[1]!CALC_DMG(Q21*$AM$1,AZ21,$AI$2,1)*$AM$2</f>
        <v>15081.131600000001</v>
      </c>
      <c r="BB21" s="75">
        <f t="shared" si="84"/>
        <v>1.5118228926534929</v>
      </c>
      <c r="BC21" s="20">
        <f>[1]!CALC_DMG(R21*$AK$1,AZ21,$AI$2,1)*$AK$2+[1]!CALC_DMG(R21*$AL$1,AZ21,$AI$2,1)*$AL$2+[1]!CALC_DMG(R21*$AM$1,AZ21,$AI$2,1)*$AM$2</f>
        <v>12395.765600000001</v>
      </c>
      <c r="BD21" s="75">
        <f t="shared" si="85"/>
        <v>1.8393377816050345</v>
      </c>
      <c r="BE21" s="20">
        <f>[1]!CALC_DMG(S21*$AK$1,AZ21,$AI$2,1)*$AK$2+[1]!CALC_DMG(S21*$AL$1,AZ21,$AI$2,1)*$AL$2+[1]!CALC_DMG(S21*$AM$1,AZ21,$AI$2,1)*$AM$2</f>
        <v>9710.4</v>
      </c>
      <c r="BF21" s="75">
        <f t="shared" si="86"/>
        <v>2.3479980227385071</v>
      </c>
    </row>
    <row r="23" spans="2:58" ht="24" customHeight="1" x14ac:dyDescent="0.15">
      <c r="AU23" s="7" t="s">
        <v>245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246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247</v>
      </c>
      <c r="AV25" s="8">
        <v>0.9</v>
      </c>
      <c r="AW25" s="8">
        <v>0.9</v>
      </c>
      <c r="AX25" s="8">
        <v>1.75</v>
      </c>
    </row>
  </sheetData>
  <mergeCells count="12">
    <mergeCell ref="AJ3:AT4"/>
    <mergeCell ref="AV3:BF4"/>
    <mergeCell ref="B6:B7"/>
    <mergeCell ref="B8:B9"/>
    <mergeCell ref="B10:B12"/>
    <mergeCell ref="AE3:AH3"/>
    <mergeCell ref="AA3:AD3"/>
    <mergeCell ref="B13:B14"/>
    <mergeCell ref="B16:B18"/>
    <mergeCell ref="B20:B21"/>
    <mergeCell ref="D3:T3"/>
    <mergeCell ref="W3:Z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2" t="s">
        <v>46</v>
      </c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21"/>
      <c r="R3" s="21"/>
      <c r="S3" s="21"/>
      <c r="T3" s="21"/>
      <c r="V3" s="82" t="s">
        <v>52</v>
      </c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2"/>
      <c r="AP3" s="82"/>
      <c r="AQ3" s="82"/>
      <c r="AR3" s="82"/>
      <c r="AS3" s="82"/>
      <c r="AT3" s="82"/>
      <c r="AU3" s="82"/>
      <c r="AV3" s="82"/>
      <c r="AW3" s="82"/>
      <c r="AX3" s="82"/>
      <c r="AY3" s="82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6" t="s">
        <v>57</v>
      </c>
      <c r="W4" s="86"/>
      <c r="X4" s="86"/>
      <c r="Y4" s="86"/>
      <c r="Z4" s="86"/>
      <c r="AA4" s="86"/>
      <c r="AB4" s="21"/>
      <c r="AC4" s="21"/>
      <c r="AD4" s="86" t="s">
        <v>59</v>
      </c>
      <c r="AE4" s="86"/>
      <c r="AF4" s="86"/>
      <c r="AG4" s="86"/>
      <c r="AH4" s="21"/>
      <c r="AI4" s="21"/>
      <c r="AJ4" s="21"/>
      <c r="AK4" s="21"/>
      <c r="AL4" s="86" t="s">
        <v>60</v>
      </c>
      <c r="AM4" s="86"/>
      <c r="AN4" s="86"/>
      <c r="AO4" s="86"/>
      <c r="AP4" s="86"/>
      <c r="AQ4" s="86"/>
      <c r="AR4" s="21"/>
      <c r="AS4" s="21"/>
      <c r="AT4" s="86" t="s">
        <v>61</v>
      </c>
      <c r="AU4" s="86"/>
      <c r="AV4" s="86"/>
      <c r="AW4" s="86"/>
      <c r="AX4" s="86"/>
      <c r="AY4" s="86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1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1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1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1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87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87"/>
    </row>
    <row r="12" spans="2:52" ht="24" customHeight="1" x14ac:dyDescent="0.15">
      <c r="B12" s="87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1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1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1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1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1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1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1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workbookViewId="0">
      <pane xSplit="1" topLeftCell="G1" activePane="topRight" state="frozen"/>
      <selection pane="topRight" activeCell="S7" sqref="S7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98" t="s">
        <v>96</v>
      </c>
      <c r="F1" s="98"/>
      <c r="G1" s="98"/>
      <c r="H1" s="98"/>
      <c r="I1" s="37" t="s">
        <v>159</v>
      </c>
      <c r="K1" s="99" t="s">
        <v>97</v>
      </c>
      <c r="L1" s="99"/>
      <c r="M1" s="99"/>
      <c r="N1" s="99"/>
      <c r="O1" s="38" t="s">
        <v>159</v>
      </c>
      <c r="Q1" s="100" t="s">
        <v>98</v>
      </c>
      <c r="R1" s="100"/>
      <c r="S1" s="100"/>
      <c r="T1" s="100"/>
      <c r="U1" s="39" t="s">
        <v>159</v>
      </c>
    </row>
    <row r="2" spans="1:21" ht="18" customHeight="1" x14ac:dyDescent="0.15">
      <c r="A2" s="40" t="s">
        <v>158</v>
      </c>
      <c r="B2" s="101" t="s">
        <v>157</v>
      </c>
      <c r="C2" s="101"/>
      <c r="D2" s="101"/>
      <c r="E2" s="116" t="s">
        <v>196</v>
      </c>
      <c r="F2" s="116"/>
      <c r="G2" s="116" t="s">
        <v>197</v>
      </c>
      <c r="H2" s="116"/>
      <c r="K2" s="116" t="s">
        <v>196</v>
      </c>
      <c r="L2" s="116"/>
      <c r="M2" s="116" t="s">
        <v>197</v>
      </c>
      <c r="N2" s="116"/>
      <c r="Q2" s="116" t="s">
        <v>196</v>
      </c>
      <c r="R2" s="116"/>
      <c r="S2" s="116" t="s">
        <v>197</v>
      </c>
      <c r="T2" s="116"/>
    </row>
    <row r="3" spans="1:21" ht="18" customHeight="1" x14ac:dyDescent="0.15">
      <c r="A3" s="41">
        <v>0.1</v>
      </c>
      <c r="B3" s="3" t="s">
        <v>102</v>
      </c>
      <c r="C3" s="3" t="s">
        <v>122</v>
      </c>
      <c r="D3" s="1"/>
      <c r="E3" s="102"/>
      <c r="F3" s="103"/>
      <c r="G3" s="103"/>
      <c r="H3" s="104"/>
      <c r="I3" s="114" t="s">
        <v>129</v>
      </c>
      <c r="K3" s="102"/>
      <c r="L3" s="103"/>
      <c r="M3" s="103"/>
      <c r="N3" s="104"/>
      <c r="O3" s="45" t="s">
        <v>129</v>
      </c>
      <c r="Q3" s="102"/>
      <c r="R3" s="103"/>
      <c r="S3" s="103"/>
      <c r="T3" s="104"/>
      <c r="U3" s="96" t="s">
        <v>156</v>
      </c>
    </row>
    <row r="4" spans="1:21" ht="18" customHeight="1" x14ac:dyDescent="0.15">
      <c r="A4" s="42">
        <v>1.1000000000000001</v>
      </c>
      <c r="B4" s="3" t="s">
        <v>103</v>
      </c>
      <c r="C4" s="1"/>
      <c r="D4" s="1"/>
      <c r="E4" s="105"/>
      <c r="F4" s="106"/>
      <c r="G4" s="106"/>
      <c r="H4" s="107"/>
      <c r="I4" s="115"/>
      <c r="K4" s="49" t="s">
        <v>133</v>
      </c>
      <c r="L4" s="49"/>
      <c r="M4" s="49" t="s">
        <v>134</v>
      </c>
      <c r="N4" s="47"/>
      <c r="O4" s="111">
        <v>0</v>
      </c>
      <c r="Q4" s="108"/>
      <c r="R4" s="109"/>
      <c r="S4" s="109"/>
      <c r="T4" s="110"/>
      <c r="U4" s="97"/>
    </row>
    <row r="5" spans="1:21" ht="18" customHeight="1" x14ac:dyDescent="0.15">
      <c r="A5" s="42">
        <v>1.2</v>
      </c>
      <c r="B5" s="3" t="s">
        <v>163</v>
      </c>
      <c r="C5" s="3" t="s">
        <v>104</v>
      </c>
      <c r="D5" s="3" t="s">
        <v>105</v>
      </c>
      <c r="E5" s="46" t="s">
        <v>195</v>
      </c>
      <c r="F5" s="46" t="s">
        <v>130</v>
      </c>
      <c r="G5" s="46" t="s">
        <v>131</v>
      </c>
      <c r="H5" s="48" t="s">
        <v>132</v>
      </c>
      <c r="I5" s="91">
        <v>0</v>
      </c>
      <c r="K5" s="48" t="s">
        <v>193</v>
      </c>
      <c r="L5" s="48"/>
      <c r="M5" s="48" t="s">
        <v>194</v>
      </c>
      <c r="N5" s="47"/>
      <c r="O5" s="112"/>
      <c r="Q5" s="108"/>
      <c r="R5" s="109"/>
      <c r="S5" s="109"/>
      <c r="T5" s="110"/>
      <c r="U5" s="97"/>
    </row>
    <row r="6" spans="1:21" ht="18" customHeight="1" x14ac:dyDescent="0.15">
      <c r="A6" s="42">
        <v>1.3</v>
      </c>
      <c r="B6" s="3" t="s">
        <v>106</v>
      </c>
      <c r="C6" s="3"/>
      <c r="D6" s="1"/>
      <c r="E6" s="48"/>
      <c r="F6" s="47"/>
      <c r="G6" s="48" t="s">
        <v>160</v>
      </c>
      <c r="H6" s="47"/>
      <c r="I6" s="91"/>
      <c r="K6" s="48" t="s">
        <v>165</v>
      </c>
      <c r="L6" s="48"/>
      <c r="M6" s="48"/>
      <c r="N6" s="47"/>
      <c r="O6" s="112"/>
      <c r="Q6" s="105"/>
      <c r="R6" s="106"/>
      <c r="S6" s="106"/>
      <c r="T6" s="107"/>
      <c r="U6" s="97"/>
    </row>
    <row r="7" spans="1:21" ht="18" customHeight="1" x14ac:dyDescent="0.15">
      <c r="A7" s="42">
        <v>1.4</v>
      </c>
      <c r="B7" s="3" t="s">
        <v>107</v>
      </c>
      <c r="C7" s="3" t="s">
        <v>162</v>
      </c>
      <c r="D7" s="1"/>
      <c r="E7" s="48" t="s">
        <v>161</v>
      </c>
      <c r="F7" s="48"/>
      <c r="G7" s="48" t="s">
        <v>164</v>
      </c>
      <c r="H7" s="47"/>
      <c r="I7" s="91"/>
      <c r="K7" s="48" t="s">
        <v>167</v>
      </c>
      <c r="L7" s="48"/>
      <c r="M7" s="47" t="s">
        <v>166</v>
      </c>
      <c r="N7" s="47"/>
      <c r="O7" s="113"/>
      <c r="Q7" s="54" t="s">
        <v>199</v>
      </c>
      <c r="R7" s="54" t="s">
        <v>135</v>
      </c>
      <c r="S7" s="54" t="s">
        <v>153</v>
      </c>
      <c r="T7" s="51" t="s">
        <v>173</v>
      </c>
      <c r="U7" s="92">
        <v>1</v>
      </c>
    </row>
    <row r="8" spans="1:21" ht="18" customHeight="1" x14ac:dyDescent="0.15">
      <c r="A8" s="43">
        <v>2.1</v>
      </c>
      <c r="B8" s="3" t="s">
        <v>111</v>
      </c>
      <c r="C8" s="3" t="s">
        <v>108</v>
      </c>
      <c r="D8" s="3" t="s">
        <v>109</v>
      </c>
      <c r="E8" s="48" t="s">
        <v>168</v>
      </c>
      <c r="F8" s="48"/>
      <c r="G8" s="47" t="s">
        <v>169</v>
      </c>
      <c r="H8" s="47"/>
      <c r="I8" s="91"/>
      <c r="K8" s="53" t="s">
        <v>136</v>
      </c>
      <c r="L8" s="53" t="s">
        <v>137</v>
      </c>
      <c r="M8" s="53" t="s">
        <v>154</v>
      </c>
      <c r="N8" s="51" t="s">
        <v>170</v>
      </c>
      <c r="O8" s="92">
        <v>1</v>
      </c>
      <c r="Q8" s="51" t="s">
        <v>171</v>
      </c>
      <c r="R8" s="51"/>
      <c r="S8" s="51" t="s">
        <v>172</v>
      </c>
      <c r="T8" s="51" t="s">
        <v>198</v>
      </c>
      <c r="U8" s="92"/>
    </row>
    <row r="9" spans="1:21" ht="18" customHeight="1" x14ac:dyDescent="0.15">
      <c r="A9" s="43">
        <v>2.2000000000000002</v>
      </c>
      <c r="B9" s="3" t="s">
        <v>110</v>
      </c>
      <c r="C9" s="3" t="s">
        <v>112</v>
      </c>
      <c r="D9" s="1"/>
      <c r="E9" s="50" t="s">
        <v>175</v>
      </c>
      <c r="F9" s="50" t="s">
        <v>174</v>
      </c>
      <c r="G9" s="50" t="s">
        <v>138</v>
      </c>
      <c r="H9" s="50" t="s">
        <v>139</v>
      </c>
      <c r="I9" s="92">
        <v>1</v>
      </c>
      <c r="K9" s="51" t="s">
        <v>176</v>
      </c>
      <c r="L9" s="51" t="s">
        <v>177</v>
      </c>
      <c r="M9" s="51" t="s">
        <v>178</v>
      </c>
      <c r="N9" s="51" t="s">
        <v>179</v>
      </c>
      <c r="O9" s="92"/>
      <c r="Q9" s="33" t="s">
        <v>180</v>
      </c>
      <c r="R9" s="33"/>
      <c r="S9" s="33" t="s">
        <v>181</v>
      </c>
      <c r="T9" s="56"/>
      <c r="U9" s="93">
        <v>2</v>
      </c>
    </row>
    <row r="10" spans="1:21" ht="18" customHeight="1" x14ac:dyDescent="0.15">
      <c r="A10" s="43">
        <v>2.2999999999999998</v>
      </c>
      <c r="B10" s="3" t="s">
        <v>113</v>
      </c>
      <c r="C10" s="3"/>
      <c r="D10" s="1"/>
      <c r="E10" s="51" t="s">
        <v>182</v>
      </c>
      <c r="F10" s="52"/>
      <c r="G10" s="52"/>
      <c r="H10" s="52"/>
      <c r="I10" s="92"/>
      <c r="K10" s="57" t="s">
        <v>141</v>
      </c>
      <c r="L10" s="57"/>
      <c r="M10" s="57" t="s">
        <v>155</v>
      </c>
      <c r="N10" s="33" t="s">
        <v>140</v>
      </c>
      <c r="O10" s="93">
        <v>2</v>
      </c>
      <c r="Q10" s="33" t="s">
        <v>101</v>
      </c>
      <c r="R10" s="56"/>
      <c r="S10" s="56"/>
      <c r="T10" s="56"/>
      <c r="U10" s="93"/>
    </row>
    <row r="11" spans="1:21" ht="18" customHeight="1" x14ac:dyDescent="0.15">
      <c r="A11" s="65">
        <v>3.1</v>
      </c>
      <c r="B11" s="3" t="s">
        <v>114</v>
      </c>
      <c r="C11" s="3"/>
      <c r="D11" s="1"/>
      <c r="E11" s="55" t="s">
        <v>142</v>
      </c>
      <c r="F11" s="55" t="s">
        <v>143</v>
      </c>
      <c r="G11" s="55" t="s">
        <v>144</v>
      </c>
      <c r="H11" s="55" t="s">
        <v>145</v>
      </c>
      <c r="I11" s="93">
        <v>2</v>
      </c>
      <c r="K11" s="33"/>
      <c r="L11" s="56"/>
      <c r="M11" s="33" t="s">
        <v>184</v>
      </c>
      <c r="N11" s="56"/>
      <c r="O11" s="93"/>
      <c r="Q11" s="61" t="s">
        <v>183</v>
      </c>
      <c r="R11" s="61"/>
      <c r="S11" s="61" t="s">
        <v>185</v>
      </c>
      <c r="T11" s="59"/>
      <c r="U11" s="94">
        <v>3</v>
      </c>
    </row>
    <row r="12" spans="1:21" ht="18" customHeight="1" x14ac:dyDescent="0.15">
      <c r="A12" s="65">
        <v>3.2</v>
      </c>
      <c r="B12" s="3" t="s">
        <v>115</v>
      </c>
      <c r="C12" s="3" t="s">
        <v>116</v>
      </c>
      <c r="D12" s="1"/>
      <c r="E12" s="33"/>
      <c r="F12" s="56"/>
      <c r="G12" s="33" t="s">
        <v>186</v>
      </c>
      <c r="H12" s="56"/>
      <c r="I12" s="93"/>
      <c r="K12" s="33"/>
      <c r="L12" s="56"/>
      <c r="M12" s="33" t="s">
        <v>187</v>
      </c>
      <c r="N12" s="56"/>
      <c r="O12" s="93"/>
      <c r="Q12" s="69" t="s">
        <v>152</v>
      </c>
      <c r="R12" s="59"/>
      <c r="S12" s="59"/>
      <c r="T12" s="59"/>
      <c r="U12" s="94"/>
    </row>
    <row r="13" spans="1:21" ht="18" customHeight="1" x14ac:dyDescent="0.15">
      <c r="A13" s="65">
        <v>3.3</v>
      </c>
      <c r="B13" s="3" t="s">
        <v>117</v>
      </c>
      <c r="C13" s="3" t="s">
        <v>118</v>
      </c>
      <c r="D13" s="3" t="s">
        <v>123</v>
      </c>
      <c r="E13" s="33" t="s">
        <v>189</v>
      </c>
      <c r="F13" s="33"/>
      <c r="G13" s="33"/>
      <c r="H13" s="56"/>
      <c r="I13" s="93"/>
      <c r="K13" s="60" t="s">
        <v>146</v>
      </c>
      <c r="L13" s="60" t="s">
        <v>147</v>
      </c>
      <c r="M13" s="61" t="s">
        <v>188</v>
      </c>
      <c r="N13" s="61" t="s">
        <v>190</v>
      </c>
      <c r="O13" s="43">
        <v>3</v>
      </c>
      <c r="Q13" s="28" t="s">
        <v>191</v>
      </c>
      <c r="R13" s="28" t="s">
        <v>192</v>
      </c>
      <c r="S13" s="63"/>
      <c r="T13" s="63"/>
      <c r="U13" s="95">
        <v>4</v>
      </c>
    </row>
    <row r="14" spans="1:21" ht="18" customHeight="1" x14ac:dyDescent="0.15">
      <c r="A14" s="44">
        <v>4.0999999999999996</v>
      </c>
      <c r="B14" s="3" t="s">
        <v>119</v>
      </c>
      <c r="C14" s="3" t="s">
        <v>120</v>
      </c>
      <c r="D14" s="1"/>
      <c r="E14" s="66" t="s">
        <v>149</v>
      </c>
      <c r="F14" s="58"/>
      <c r="G14" s="61"/>
      <c r="H14" s="59"/>
      <c r="I14" s="94">
        <v>3</v>
      </c>
      <c r="K14" s="62"/>
      <c r="L14" s="62"/>
      <c r="M14" s="28" t="s">
        <v>148</v>
      </c>
      <c r="N14" s="63"/>
      <c r="O14" s="89">
        <v>4</v>
      </c>
      <c r="Q14" s="67" t="s">
        <v>152</v>
      </c>
      <c r="R14" s="63"/>
      <c r="S14" s="63"/>
      <c r="T14" s="63"/>
      <c r="U14" s="95"/>
    </row>
    <row r="15" spans="1:21" ht="18" customHeight="1" x14ac:dyDescent="0.15">
      <c r="A15" s="44">
        <v>4.2</v>
      </c>
      <c r="B15" s="3" t="s">
        <v>121</v>
      </c>
      <c r="C15" s="3"/>
      <c r="D15" s="1"/>
      <c r="E15" s="58" t="s">
        <v>150</v>
      </c>
      <c r="F15" s="59"/>
      <c r="G15" s="59"/>
      <c r="H15" s="59"/>
      <c r="I15" s="94"/>
      <c r="K15" s="62"/>
      <c r="L15" s="63"/>
      <c r="M15" s="28" t="s">
        <v>151</v>
      </c>
      <c r="N15" s="63"/>
      <c r="O15" s="90"/>
      <c r="Q15" s="68" t="s">
        <v>152</v>
      </c>
      <c r="R15" s="64"/>
      <c r="S15" s="64"/>
      <c r="T15" s="64"/>
      <c r="U15" s="44">
        <v>5</v>
      </c>
    </row>
    <row r="18" spans="2:8" ht="18" customHeight="1" x14ac:dyDescent="0.15">
      <c r="C18" s="88" t="s">
        <v>99</v>
      </c>
      <c r="D18" s="88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124</v>
      </c>
      <c r="C20" s="3">
        <v>1.2</v>
      </c>
      <c r="D20" s="3">
        <v>1.1000000000000001</v>
      </c>
      <c r="E20" s="7" t="s">
        <v>200</v>
      </c>
      <c r="F20" s="7" t="s">
        <v>201</v>
      </c>
      <c r="G20" s="7" t="s">
        <v>202</v>
      </c>
      <c r="H20" s="7" t="s">
        <v>203</v>
      </c>
    </row>
    <row r="21" spans="2:8" ht="18" customHeight="1" x14ac:dyDescent="0.15">
      <c r="B21" s="3" t="s">
        <v>125</v>
      </c>
      <c r="C21" s="1">
        <v>2.1</v>
      </c>
      <c r="D21" s="1">
        <v>1.4</v>
      </c>
      <c r="E21" s="7" t="s">
        <v>204</v>
      </c>
      <c r="F21" s="7" t="s">
        <v>205</v>
      </c>
      <c r="G21" s="7" t="s">
        <v>206</v>
      </c>
      <c r="H21" s="7" t="s">
        <v>207</v>
      </c>
    </row>
    <row r="22" spans="2:8" ht="18" customHeight="1" x14ac:dyDescent="0.15">
      <c r="B22" s="3" t="s">
        <v>126</v>
      </c>
      <c r="C22" s="1">
        <v>3.1</v>
      </c>
      <c r="D22" s="1">
        <v>2.2999999999999998</v>
      </c>
      <c r="E22" s="7" t="s">
        <v>208</v>
      </c>
      <c r="F22" s="7" t="s">
        <v>209</v>
      </c>
    </row>
    <row r="23" spans="2:8" ht="18" customHeight="1" x14ac:dyDescent="0.15">
      <c r="B23" s="3" t="s">
        <v>127</v>
      </c>
      <c r="C23" s="1">
        <v>4.0999999999999996</v>
      </c>
      <c r="D23" s="1">
        <v>3.3</v>
      </c>
      <c r="E23" s="7" t="s">
        <v>152</v>
      </c>
      <c r="F23" s="7" t="s">
        <v>152</v>
      </c>
    </row>
    <row r="24" spans="2:8" ht="18" customHeight="1" x14ac:dyDescent="0.15">
      <c r="B24" s="3" t="s">
        <v>128</v>
      </c>
      <c r="C24" s="1">
        <v>4.2</v>
      </c>
      <c r="D24" s="3" t="s">
        <v>129</v>
      </c>
      <c r="E24" s="7" t="s">
        <v>152</v>
      </c>
      <c r="F24" s="7" t="s">
        <v>152</v>
      </c>
    </row>
    <row r="27" spans="2:8" ht="18" customHeight="1" x14ac:dyDescent="0.15">
      <c r="B27" s="5" t="s">
        <v>210</v>
      </c>
    </row>
    <row r="28" spans="2:8" ht="18" customHeight="1" x14ac:dyDescent="0.15">
      <c r="B28" s="5" t="s">
        <v>211</v>
      </c>
      <c r="C28" s="5" t="s">
        <v>212</v>
      </c>
      <c r="D28" s="7" t="s">
        <v>213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152</v>
      </c>
      <c r="F35" s="70"/>
    </row>
  </sheetData>
  <mergeCells count="28">
    <mergeCell ref="E1:H1"/>
    <mergeCell ref="K1:N1"/>
    <mergeCell ref="Q1:T1"/>
    <mergeCell ref="B2:D2"/>
    <mergeCell ref="E3:H4"/>
    <mergeCell ref="Q3:T6"/>
    <mergeCell ref="O4:O7"/>
    <mergeCell ref="K3:N3"/>
    <mergeCell ref="I3:I4"/>
    <mergeCell ref="M2:N2"/>
    <mergeCell ref="Q2:R2"/>
    <mergeCell ref="S2:T2"/>
    <mergeCell ref="E2:F2"/>
    <mergeCell ref="G2:H2"/>
    <mergeCell ref="K2:L2"/>
    <mergeCell ref="U7:U8"/>
    <mergeCell ref="U9:U10"/>
    <mergeCell ref="U11:U12"/>
    <mergeCell ref="U13:U14"/>
    <mergeCell ref="U3:U6"/>
    <mergeCell ref="C18:D18"/>
    <mergeCell ref="O14:O15"/>
    <mergeCell ref="I5:I8"/>
    <mergeCell ref="I9:I10"/>
    <mergeCell ref="I11:I13"/>
    <mergeCell ref="I14:I15"/>
    <mergeCell ref="O8:O9"/>
    <mergeCell ref="O10:O12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27" t="s">
        <v>0</v>
      </c>
      <c r="B1" s="127"/>
      <c r="C1" s="127"/>
      <c r="D1" s="127"/>
      <c r="E1" s="127"/>
      <c r="G1" s="127" t="s">
        <v>42</v>
      </c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17" t="s">
        <v>9</v>
      </c>
      <c r="B8" s="118"/>
      <c r="C8" s="118"/>
      <c r="D8" s="118"/>
      <c r="E8" s="118"/>
      <c r="F8" s="119"/>
      <c r="G8" s="4"/>
      <c r="I8" s="117" t="s">
        <v>10</v>
      </c>
      <c r="J8" s="118"/>
      <c r="K8" s="118"/>
      <c r="L8" s="118"/>
      <c r="M8" s="118"/>
      <c r="N8" s="119"/>
      <c r="O8" s="1"/>
      <c r="Q8" s="117" t="s">
        <v>11</v>
      </c>
      <c r="R8" s="118"/>
      <c r="S8" s="118"/>
      <c r="T8" s="118"/>
      <c r="U8" s="118"/>
      <c r="V8" s="11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23">
        <f>D10+D11+D12+D13</f>
        <v>2</v>
      </c>
      <c r="G10" s="88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23">
        <f>L10+L11+L12+L13+L14+L15+L16</f>
        <v>3.5</v>
      </c>
      <c r="O10" s="88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20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26"/>
      <c r="G11" s="88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26"/>
      <c r="O11" s="88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21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26"/>
      <c r="G12" s="88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26"/>
      <c r="O12" s="88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22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24"/>
      <c r="G13" s="88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26"/>
      <c r="O13" s="88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23">
        <f>D10+D11+D12+D14+D15</f>
        <v>3.09375</v>
      </c>
      <c r="G14" s="88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26"/>
      <c r="O14" s="88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24"/>
      <c r="G15" s="88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26"/>
      <c r="O15" s="88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24"/>
      <c r="O16" s="88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17" t="s">
        <v>29</v>
      </c>
      <c r="B20" s="118"/>
      <c r="C20" s="118"/>
      <c r="D20" s="118"/>
      <c r="E20" s="119"/>
      <c r="I20" s="117" t="s">
        <v>30</v>
      </c>
      <c r="J20" s="118"/>
      <c r="K20" s="118"/>
      <c r="L20" s="118"/>
      <c r="M20" s="118"/>
      <c r="N20" s="11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20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21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22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20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22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25" t="s">
        <v>43</v>
      </c>
      <c r="B30" s="118"/>
      <c r="C30" s="118"/>
      <c r="D30" s="118"/>
      <c r="E30" s="118"/>
      <c r="F30" s="119"/>
      <c r="G30" s="4"/>
      <c r="I30" s="125" t="s">
        <v>44</v>
      </c>
      <c r="J30" s="118"/>
      <c r="K30" s="118"/>
      <c r="L30" s="118"/>
      <c r="M30" s="118"/>
      <c r="N30" s="11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23">
        <f>D32+D33+D34+D35</f>
        <v>2.8634999999999997</v>
      </c>
      <c r="G32" s="88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23">
        <f>L32+L33+L34+L35+L36+L37+L38</f>
        <v>4.4731499999999995</v>
      </c>
      <c r="O32" s="88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26"/>
      <c r="G33" s="88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26"/>
      <c r="O33" s="88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26"/>
      <c r="G34" s="88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26"/>
      <c r="O34" s="88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24"/>
      <c r="G35" s="88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26"/>
      <c r="O35" s="88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23">
        <f>D32+D33+D34+D36+D37</f>
        <v>4.2640000000000002</v>
      </c>
      <c r="G36" s="88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26"/>
      <c r="O36" s="88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24"/>
      <c r="G37" s="88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26"/>
      <c r="O37" s="88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24"/>
      <c r="O38" s="88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17" t="s">
        <v>29</v>
      </c>
      <c r="B43" s="118"/>
      <c r="C43" s="118"/>
      <c r="D43" s="118"/>
      <c r="E43" s="119"/>
      <c r="I43" s="117" t="s">
        <v>30</v>
      </c>
      <c r="J43" s="118"/>
      <c r="K43" s="118"/>
      <c r="L43" s="118"/>
      <c r="M43" s="118"/>
      <c r="N43" s="11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20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21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22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20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22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2026-05-05T01:20:25Z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