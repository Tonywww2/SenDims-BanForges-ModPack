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D20B6B5F-D079-4832-86F8-7BF845ECABC9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91029"/>
</workbook>
</file>

<file path=xl/calcChain.xml><?xml version="1.0" encoding="utf-8"?>
<calcChain xmlns="http://schemas.openxmlformats.org/spreadsheetml/2006/main">
  <c r="AX21" i="5" l="1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12" i="5"/>
  <c r="AC17" i="5"/>
  <c r="AC16" i="5"/>
  <c r="AG14" i="5"/>
  <c r="AC14" i="5"/>
  <c r="AC12" i="5"/>
  <c r="AC10" i="5"/>
  <c r="AG21" i="5"/>
  <c r="AC7" i="5"/>
  <c r="Y20" i="5"/>
  <c r="Y16" i="5"/>
  <c r="Y7" i="5"/>
  <c r="AC21" i="5"/>
  <c r="AG13" i="5"/>
  <c r="AG18" i="5"/>
  <c r="AC8" i="5"/>
  <c r="Y12" i="5"/>
  <c r="AG6" i="5"/>
  <c r="AC20" i="5"/>
  <c r="AC9" i="5"/>
  <c r="AC6" i="5"/>
  <c r="Y10" i="5"/>
  <c r="AG10" i="5"/>
  <c r="AG16" i="5"/>
  <c r="AC13" i="5"/>
  <c r="AG20" i="5"/>
  <c r="Y21" i="5"/>
  <c r="Y18" i="5"/>
  <c r="Y13" i="5"/>
  <c r="Y8" i="5"/>
  <c r="Y6" i="5"/>
  <c r="AG9" i="5"/>
  <c r="AC18" i="5"/>
  <c r="AG17" i="5"/>
  <c r="Y17" i="5"/>
  <c r="Y14" i="5"/>
  <c r="Y9" i="5"/>
  <c r="AG7" i="5"/>
  <c r="AG8" i="5"/>
  <c r="AH7" i="5" l="1"/>
  <c r="AH8" i="5"/>
  <c r="AH9" i="5"/>
  <c r="AH10" i="5"/>
  <c r="AH6" i="5"/>
  <c r="Z6" i="5"/>
  <c r="AH20" i="5"/>
  <c r="AH21" i="5"/>
  <c r="AH16" i="5"/>
  <c r="AH17" i="5"/>
  <c r="AH18" i="5"/>
  <c r="AH14" i="5"/>
  <c r="AH12" i="5"/>
  <c r="AH13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AD14" i="5" s="1"/>
  <c r="L13" i="5"/>
  <c r="AD13" i="5" s="1"/>
  <c r="L12" i="5"/>
  <c r="AD12" i="5" s="1"/>
  <c r="L21" i="5"/>
  <c r="AD21" i="5" s="1"/>
  <c r="L20" i="5"/>
  <c r="AD20" i="5" s="1"/>
  <c r="L18" i="5"/>
  <c r="AD18" i="5" s="1"/>
  <c r="L17" i="5"/>
  <c r="AD17" i="5" s="1"/>
  <c r="L16" i="5"/>
  <c r="AD16" i="5" s="1"/>
  <c r="L10" i="5"/>
  <c r="AD10" i="5" s="1"/>
  <c r="L9" i="5"/>
  <c r="AD9" i="5" s="1"/>
  <c r="L8" i="5"/>
  <c r="AD8" i="5" s="1"/>
  <c r="L6" i="5"/>
  <c r="AD6" i="5" s="1"/>
  <c r="L7" i="5"/>
  <c r="AD7" i="5" s="1"/>
  <c r="AN21" i="5"/>
  <c r="T21" i="5"/>
  <c r="Q21" i="5"/>
  <c r="AN20" i="5"/>
  <c r="T20" i="5"/>
  <c r="Q20" i="5"/>
  <c r="AN18" i="5"/>
  <c r="T18" i="5"/>
  <c r="Q18" i="5"/>
  <c r="AO18" i="5" s="1"/>
  <c r="AN17" i="5"/>
  <c r="T17" i="5"/>
  <c r="Q17" i="5"/>
  <c r="AN16" i="5"/>
  <c r="T16" i="5"/>
  <c r="Q16" i="5"/>
  <c r="AN14" i="5"/>
  <c r="T14" i="5"/>
  <c r="Q14" i="5"/>
  <c r="AO14" i="5" s="1"/>
  <c r="AN13" i="5"/>
  <c r="T13" i="5"/>
  <c r="Q13" i="5"/>
  <c r="AO13" i="5" s="1"/>
  <c r="AN12" i="5"/>
  <c r="T12" i="5"/>
  <c r="Q12" i="5"/>
  <c r="AO12" i="5" s="1"/>
  <c r="AN10" i="5"/>
  <c r="T10" i="5"/>
  <c r="Q10" i="5"/>
  <c r="AN9" i="5"/>
  <c r="T9" i="5"/>
  <c r="Q9" i="5"/>
  <c r="AN8" i="5"/>
  <c r="T8" i="5"/>
  <c r="Q8" i="5"/>
  <c r="AO8" i="5" s="1"/>
  <c r="AN7" i="5"/>
  <c r="T7" i="5"/>
  <c r="Q7" i="5"/>
  <c r="BA7" i="5" s="1"/>
  <c r="AN6" i="5"/>
  <c r="T6" i="5"/>
  <c r="Q6" i="5"/>
  <c r="AO6" i="5" s="1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T16" i="5" s="1"/>
  <c r="AS14" i="5"/>
  <c r="AS13" i="5"/>
  <c r="AS12" i="5"/>
  <c r="AS10" i="5"/>
  <c r="AS9" i="5"/>
  <c r="AS7" i="5"/>
  <c r="AS8" i="5"/>
  <c r="AS6" i="5"/>
  <c r="AO21" i="5"/>
  <c r="AO20" i="5"/>
  <c r="AO10" i="5"/>
  <c r="AO9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A18" i="5"/>
  <c r="BA10" i="5"/>
  <c r="BE6" i="5"/>
  <c r="BE13" i="5"/>
  <c r="BA8" i="5"/>
  <c r="BE21" i="5"/>
  <c r="BE17" i="5"/>
  <c r="BA21" i="5"/>
  <c r="BA20" i="5"/>
  <c r="BE10" i="5"/>
  <c r="BA9" i="5"/>
  <c r="BE9" i="5"/>
  <c r="BE14" i="5"/>
  <c r="BE12" i="5"/>
  <c r="BE16" i="5"/>
  <c r="BE8" i="5"/>
  <c r="BE7" i="5"/>
  <c r="BA13" i="5"/>
  <c r="BE18" i="5"/>
  <c r="BE20" i="5"/>
  <c r="AO7" i="5" l="1"/>
  <c r="BA14" i="5"/>
  <c r="AO17" i="5"/>
  <c r="AP17" i="5" s="1"/>
  <c r="BA17" i="5"/>
  <c r="BA6" i="5"/>
  <c r="S20" i="3"/>
  <c r="T20" i="3" s="1"/>
  <c r="AO16" i="5"/>
  <c r="AP16" i="5" s="1"/>
  <c r="BA16" i="5"/>
  <c r="AP13" i="5"/>
  <c r="BF20" i="5"/>
  <c r="BF21" i="5"/>
  <c r="BB21" i="5"/>
  <c r="BF16" i="5"/>
  <c r="BB16" i="5"/>
  <c r="BF17" i="5"/>
  <c r="BB17" i="5"/>
  <c r="BF18" i="5"/>
  <c r="BB18" i="5"/>
  <c r="BF12" i="5"/>
  <c r="BF13" i="5"/>
  <c r="BB13" i="5"/>
  <c r="BF14" i="5"/>
  <c r="BB14" i="5"/>
  <c r="BF7" i="5"/>
  <c r="BB7" i="5"/>
  <c r="BF8" i="5"/>
  <c r="BB8" i="5"/>
  <c r="BF9" i="5"/>
  <c r="BB9" i="5"/>
  <c r="BF10" i="5"/>
  <c r="BB10" i="5"/>
  <c r="BB6" i="5"/>
  <c r="BF6" i="5"/>
  <c r="BB20" i="5"/>
  <c r="AP9" i="5"/>
  <c r="AP10" i="5"/>
  <c r="AP8" i="5"/>
  <c r="AP14" i="5"/>
  <c r="AP12" i="5"/>
  <c r="AP6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AQ12" i="5" s="1"/>
  <c r="R14" i="5"/>
  <c r="AQ14" i="5" s="1"/>
  <c r="R7" i="5"/>
  <c r="R17" i="5"/>
  <c r="AQ17" i="5" s="1"/>
  <c r="R8" i="5"/>
  <c r="R10" i="5"/>
  <c r="BC10" i="5" s="1"/>
  <c r="BD10" i="5" s="1"/>
  <c r="R13" i="5"/>
  <c r="AQ13" i="5" s="1"/>
  <c r="R16" i="5"/>
  <c r="AQ16" i="5" s="1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F32" i="1" s="1"/>
  <c r="D33" i="1"/>
  <c r="E33" i="1" s="1"/>
  <c r="L33" i="1"/>
  <c r="M33" i="1" s="1"/>
  <c r="M39" i="1" s="1"/>
  <c r="N39" i="1" s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BA12" i="5"/>
  <c r="AQ21" i="5" l="1"/>
  <c r="AR21" i="5" s="1"/>
  <c r="BC21" i="5"/>
  <c r="BD21" i="5" s="1"/>
  <c r="E32" i="1"/>
  <c r="AQ18" i="5"/>
  <c r="BC18" i="5"/>
  <c r="BD18" i="5" s="1"/>
  <c r="AQ6" i="5"/>
  <c r="BC6" i="5"/>
  <c r="BD6" i="5" s="1"/>
  <c r="BC8" i="5"/>
  <c r="BD8" i="5" s="1"/>
  <c r="AQ8" i="5"/>
  <c r="AR8" i="5" s="1"/>
  <c r="BC9" i="5"/>
  <c r="BD9" i="5" s="1"/>
  <c r="AQ9" i="5"/>
  <c r="AR9" i="5" s="1"/>
  <c r="BC20" i="5"/>
  <c r="BD20" i="5" s="1"/>
  <c r="AQ20" i="5"/>
  <c r="AR20" i="5" s="1"/>
  <c r="N32" i="1"/>
  <c r="BC7" i="5"/>
  <c r="BD7" i="5" s="1"/>
  <c r="AQ7" i="5"/>
  <c r="AR7" i="5" s="1"/>
  <c r="BB12" i="5"/>
  <c r="AR17" i="5"/>
  <c r="AR14" i="5"/>
  <c r="AR13" i="5"/>
  <c r="AR12" i="5"/>
  <c r="AT13" i="5"/>
  <c r="AT10" i="5"/>
  <c r="AT8" i="5"/>
  <c r="AT17" i="5"/>
  <c r="AT14" i="5"/>
  <c r="AT12" i="5"/>
  <c r="AT21" i="5"/>
  <c r="AT9" i="5"/>
  <c r="AT6" i="5"/>
  <c r="AT20" i="5"/>
  <c r="AT18" i="5"/>
  <c r="AR16" i="5"/>
  <c r="AR10" i="5"/>
  <c r="AR6" i="5"/>
  <c r="AR18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BC14" i="5"/>
  <c r="BC17" i="5"/>
  <c r="BC16" i="5"/>
  <c r="BC13" i="5"/>
  <c r="BC12" i="5"/>
  <c r="BD12" i="5" l="1"/>
  <c r="BD13" i="5"/>
  <c r="BD16" i="5"/>
  <c r="BD17" i="5"/>
  <c r="BD14" i="5"/>
  <c r="E16" i="1"/>
  <c r="F16" i="1" s="1"/>
  <c r="E17" i="1"/>
  <c r="F17" i="1" s="1"/>
</calcChain>
</file>

<file path=xl/sharedStrings.xml><?xml version="1.0" encoding="utf-8"?>
<sst xmlns="http://schemas.openxmlformats.org/spreadsheetml/2006/main" count="446" uniqueCount="242">
  <si>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</si>
  <si>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</si>
  <si>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</si>
  <si>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</si>
  <si>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</si>
  <si>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</si>
  <si>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</si>
  <si>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</si>
  <si>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</si>
  <si>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</si>
  <si>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</si>
  <si>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</si>
  <si>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</si>
  <si>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</si>
  <si>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</si>
  <si>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</si>
  <si>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</si>
  <si>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</si>
  <si>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</si>
  <si>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</si>
  <si>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</si>
  <si>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</si>
  <si>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</si>
  <si>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</si>
  <si>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</si>
  <si>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</si>
  <si>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</si>
  <si>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</si>
  <si>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</si>
  <si>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</si>
  <si>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</si>
  <si>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</si>
  <si>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</si>
  <si>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</si>
  <si>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</si>
  <si>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</si>
  <si>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</si>
  <si>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</si>
  <si>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</si>
  <si>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</si>
  <si>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</si>
  <si>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</si>
  <si>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</si>
  <si>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</si>
  <si>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</si>
  <si>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</si>
  <si>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</si>
  <si>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</si>
  <si>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</si>
  <si>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</si>
  <si>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</si>
  <si>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</si>
  <si>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</si>
  <si>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</si>
  <si>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</si>
  <si>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</si>
  <si>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</si>
  <si>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</si>
  <si>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</si>
  <si>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</si>
  <si>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</si>
  <si>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</si>
  <si>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</si>
  <si>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</si>
  <si>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</si>
  <si>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</si>
  <si>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</si>
  <si>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</si>
  <si>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</si>
  <si>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</si>
  <si>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</si>
  <si>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</si>
  <si>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</si>
  <si>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</si>
  <si>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</si>
  <si>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</si>
  <si>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</si>
  <si>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</si>
  <si>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</si>
  <si>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</si>
  <si>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</si>
  <si>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</si>
  <si>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</si>
  <si>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</si>
  <si>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</si>
  <si>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</si>
  <si>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</si>
  <si>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</si>
  <si>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</si>
  <si>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</si>
  <si>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</si>
  <si>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</si>
  <si>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</si>
  <si>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</si>
  <si>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</si>
  <si>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</si>
  <si>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</si>
  <si>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</si>
  <si>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</si>
  <si>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</si>
  <si>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</si>
  <si>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</si>
  <si>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</si>
  <si>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</si>
  <si>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</si>
  <si>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</si>
  <si>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</si>
  <si>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</si>
  <si>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</si>
  <si>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</si>
  <si>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</si>
  <si>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</si>
  <si>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</si>
  <si>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</si>
  <si>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</si>
  <si>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</si>
  <si>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</si>
  <si>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</si>
  <si>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</si>
  <si>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</si>
  <si>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</si>
  <si>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</si>
  <si>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</si>
  <si>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</si>
  <si>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</si>
  <si>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</si>
  <si>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</si>
  <si>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</si>
  <si>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</si>
  <si>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</si>
  <si>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</si>
  <si>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</si>
  <si>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</si>
  <si>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</si>
  <si>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</si>
  <si>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</si>
  <si>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</si>
  <si>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</si>
  <si>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</si>
  <si>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</si>
  <si>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</si>
  <si>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</si>
  <si>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</si>
  <si>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</si>
  <si>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</si>
  <si>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</si>
  <si>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</si>
  <si>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</si>
  <si>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</si>
  <si>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</si>
  <si>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</si>
  <si>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</si>
  <si>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</si>
  <si>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</si>
  <si>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</si>
  <si>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</si>
  <si>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</si>
  <si>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</si>
  <si>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</si>
  <si>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暮色（牛头雪怪后）</t>
    <phoneticPr fontId="7" type="noConversion"/>
  </si>
  <si>
    <t>暮色（骑士前）</t>
    <phoneticPr fontId="7" type="noConversion"/>
  </si>
  <si>
    <t>恶魂泪</t>
    <phoneticPr fontId="7" type="noConversion"/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</si>
  <si>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</si>
  <si>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</si>
  <si>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</si>
  <si>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</si>
  <si>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</si>
  <si>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</si>
  <si>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</si>
  <si>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</si>
  <si>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</si>
  <si>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</si>
  <si>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</si>
  <si>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</si>
  <si>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</si>
  <si>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</si>
  <si>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</si>
  <si>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</si>
  <si>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</si>
  <si>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</si>
  <si>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</si>
  <si>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</si>
  <si>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</si>
  <si>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</si>
  <si>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</si>
  <si>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</si>
  <si>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攻击</t>
    <phoneticPr fontId="7" type="noConversion"/>
  </si>
  <si>
    <t>生命</t>
    <phoneticPr fontId="7" type="noConversion"/>
  </si>
  <si>
    <t>MS3C</t>
    <phoneticPr fontId="7" type="noConversion"/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</si>
  <si>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</si>
  <si>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</si>
  <si>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</si>
  <si>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</si>
  <si>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</si>
  <si>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</si>
  <si>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</si>
  <si>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</si>
  <si>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</si>
  <si>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</si>
  <si>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</si>
  <si>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</si>
  <si>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</si>
  <si>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</si>
  <si>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</si>
  <si>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</si>
  <si>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</si>
  <si>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</si>
  <si>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</si>
  <si>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</si>
  <si>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</si>
  <si>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</si>
  <si>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</si>
  <si>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</si>
  <si>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</si>
  <si>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</si>
  <si>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</si>
  <si>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</si>
  <si>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</si>
  <si>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</si>
  <si>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</si>
  <si>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</si>
  <si>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</si>
  <si>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</si>
  <si>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</si>
  <si>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</si>
  <si>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</si>
  <si>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</si>
  <si>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</si>
  <si>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</si>
  <si>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</si>
  <si>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</si>
  <si>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</si>
  <si>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</si>
  <si>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</si>
  <si>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</si>
  <si>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</si>
  <si>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</si>
  <si>
    <t>下界合金锭</t>
  </si>
  <si>
    <t>凛冰冻结装置</t>
    <phoneticPr fontId="7" type="noConversion"/>
  </si>
  <si>
    <t>砷铅铁</t>
    <phoneticPr fontId="7" type="noConversion"/>
  </si>
  <si>
    <t>耀魂宝珠</t>
    <phoneticPr fontId="7" type="noConversion"/>
  </si>
  <si>
    <t>首领毛皮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</si>
</sst>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7" borderId="6" xfId="0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6" borderId="5" xfId="0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  <sheetName val="伤害计算宏"/>
    </sheetNames>
    <definedNames>
      <definedName name="CALC_DMG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opLeftCell="B1" zoomScale="85" zoomScaleNormal="85" workbookViewId="0">
      <pane xSplit="2" ySplit="5" topLeftCell="AL6" activePane="bottomRight" state="frozen"/>
      <selection activeCell="B1" sqref="B1"/>
      <selection pane="topRight" activeCell="C1" sqref="C1"/>
      <selection pane="bottomLeft" activeCell="B4" sqref="B4"/>
      <selection pane="bottomRight" activeCell="AS20" sqref="AS20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218</v>
      </c>
      <c r="AF2" s="72" t="s">
        <v>217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227</v>
      </c>
      <c r="AR2" s="7" t="s">
        <v>226</v>
      </c>
      <c r="AT2" s="72" t="s">
        <v>225</v>
      </c>
      <c r="AV2" s="8">
        <v>1.2</v>
      </c>
      <c r="AW2" s="8">
        <v>0.6</v>
      </c>
      <c r="AX2" s="8">
        <v>0.6</v>
      </c>
      <c r="BB2" s="7" t="s">
        <v>229</v>
      </c>
      <c r="BD2" s="7" t="s">
        <v>230</v>
      </c>
      <c r="BF2" s="72" t="s">
        <v>228</v>
      </c>
    </row>
    <row r="3" spans="2:58" ht="24" customHeight="1" x14ac:dyDescent="0.15">
      <c r="C3" s="21"/>
      <c r="D3" s="87" t="s">
        <v>46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21"/>
      <c r="V3" s="21"/>
      <c r="W3" s="90" t="s">
        <v>214</v>
      </c>
      <c r="X3" s="91"/>
      <c r="Y3" s="91"/>
      <c r="Z3" s="91"/>
      <c r="AA3" s="90" t="s">
        <v>215</v>
      </c>
      <c r="AB3" s="91"/>
      <c r="AC3" s="91"/>
      <c r="AD3" s="91"/>
      <c r="AE3" s="90" t="s">
        <v>216</v>
      </c>
      <c r="AF3" s="91"/>
      <c r="AG3" s="91"/>
      <c r="AH3" s="91"/>
      <c r="AJ3" s="84" t="s">
        <v>57</v>
      </c>
      <c r="AK3" s="84"/>
      <c r="AL3" s="84"/>
      <c r="AM3" s="84"/>
      <c r="AN3" s="84"/>
      <c r="AO3" s="84"/>
      <c r="AP3" s="84"/>
      <c r="AQ3" s="84"/>
      <c r="AR3" s="84"/>
      <c r="AS3" s="84"/>
      <c r="AT3" s="84"/>
      <c r="AV3" s="86" t="s">
        <v>233</v>
      </c>
      <c r="AW3" s="87"/>
      <c r="AX3" s="87"/>
      <c r="AY3" s="87"/>
      <c r="AZ3" s="87"/>
      <c r="BA3" s="87"/>
      <c r="BB3" s="87"/>
      <c r="BC3" s="87"/>
      <c r="BD3" s="87"/>
      <c r="BE3" s="87"/>
      <c r="BF3" s="87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5"/>
      <c r="AK4" s="85"/>
      <c r="AL4" s="85"/>
      <c r="AM4" s="85"/>
      <c r="AN4" s="85"/>
      <c r="AO4" s="85"/>
      <c r="AP4" s="85"/>
      <c r="AQ4" s="85"/>
      <c r="AR4" s="85"/>
      <c r="AS4" s="85"/>
      <c r="AT4" s="85"/>
      <c r="AV4" s="85"/>
      <c r="AW4" s="85"/>
      <c r="AX4" s="85"/>
      <c r="AY4" s="85"/>
      <c r="AZ4" s="85"/>
      <c r="BA4" s="85"/>
      <c r="BB4" s="85"/>
      <c r="BC4" s="85"/>
      <c r="BD4" s="85"/>
      <c r="BE4" s="85"/>
      <c r="BF4" s="85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204</v>
      </c>
      <c r="L5" s="33" t="s">
        <v>207</v>
      </c>
      <c r="M5" s="33" t="s">
        <v>208</v>
      </c>
      <c r="N5" s="28" t="s">
        <v>205</v>
      </c>
      <c r="O5" s="30" t="s">
        <v>206</v>
      </c>
      <c r="P5" s="23" t="s">
        <v>66</v>
      </c>
      <c r="Q5" s="61" t="s">
        <v>203</v>
      </c>
      <c r="R5" s="61" t="s">
        <v>209</v>
      </c>
      <c r="S5" s="61" t="s">
        <v>210</v>
      </c>
      <c r="T5" s="48" t="s">
        <v>211</v>
      </c>
      <c r="U5" s="48" t="s">
        <v>212</v>
      </c>
      <c r="V5" s="48" t="s">
        <v>213</v>
      </c>
      <c r="W5" s="12" t="s">
        <v>69</v>
      </c>
      <c r="X5" s="79" t="s">
        <v>67</v>
      </c>
      <c r="Y5" s="82" t="s">
        <v>232</v>
      </c>
      <c r="Z5" s="79" t="s">
        <v>231</v>
      </c>
      <c r="AA5" s="15" t="s">
        <v>69</v>
      </c>
      <c r="AB5" s="78" t="s">
        <v>67</v>
      </c>
      <c r="AC5" s="33" t="s">
        <v>232</v>
      </c>
      <c r="AD5" s="78" t="s">
        <v>231</v>
      </c>
      <c r="AE5" s="22" t="s">
        <v>69</v>
      </c>
      <c r="AF5" s="77" t="s">
        <v>67</v>
      </c>
      <c r="AG5" s="80" t="s">
        <v>232</v>
      </c>
      <c r="AH5" s="77" t="s">
        <v>231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219</v>
      </c>
      <c r="AP5" s="75" t="s">
        <v>222</v>
      </c>
      <c r="AQ5" s="31" t="s">
        <v>220</v>
      </c>
      <c r="AR5" s="75" t="s">
        <v>223</v>
      </c>
      <c r="AS5" s="31" t="s">
        <v>221</v>
      </c>
      <c r="AT5" s="75" t="s">
        <v>224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219</v>
      </c>
      <c r="BB5" s="75" t="s">
        <v>222</v>
      </c>
      <c r="BC5" s="31" t="s">
        <v>220</v>
      </c>
      <c r="BD5" s="75" t="s">
        <v>223</v>
      </c>
      <c r="BE5" s="31" t="s">
        <v>221</v>
      </c>
      <c r="BF5" s="75" t="s">
        <v>224</v>
      </c>
    </row>
    <row r="6" spans="2:58" ht="24" customHeight="1" x14ac:dyDescent="0.15">
      <c r="B6" s="8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 t="e">
        <f ca="1">CALC_DMG(AJ6,T6,$D$2, P6)</f>
        <v>#NAME?</v>
      </c>
      <c r="X6" s="79" t="e">
        <f ca="1">K6/W6</f>
        <v>#NAME?</v>
      </c>
      <c r="Y6" s="12" t="e">
        <f ca="1">[1]!CALC_DMG(AV6,T6,$D$2, P6)</f>
        <v>#NAME?</v>
      </c>
      <c r="Z6" s="79" t="e">
        <f ca="1">K6/Y6</f>
        <v>#NAME?</v>
      </c>
      <c r="AA6" s="15" t="e">
        <f ca="1">CALC_DMG(AJ6,U6,$D$2,P6)</f>
        <v>#NAME?</v>
      </c>
      <c r="AB6" s="78" t="e">
        <f ca="1">L6/AA6</f>
        <v>#NAME?</v>
      </c>
      <c r="AC6" s="15" t="e">
        <f ca="1">[1]!CALC_DMG(AV6,U6,$D$2,P6)</f>
        <v>#NAME?</v>
      </c>
      <c r="AD6" s="78" t="e">
        <f ca="1">L6/AC6</f>
        <v>#NAME?</v>
      </c>
      <c r="AE6" s="22" t="e">
        <f ca="1">CALC_DMG(AJ6,V6,$D$2,P6)</f>
        <v>#NAME?</v>
      </c>
      <c r="AF6" s="77" t="e">
        <f ca="1">M6/AE6</f>
        <v>#NAME?</v>
      </c>
      <c r="AG6" s="22" t="e">
        <f ca="1">[1]!CALC_DMG(AV6,V6,$D$2,P6)</f>
        <v>#NAME?</v>
      </c>
      <c r="AH6" s="77" t="e">
        <f ca="1">M6/AG6</f>
        <v>#NAME?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 t="e">
        <f ca="1">CALC_DMG(Q6*$AK$1,AN6,$AI$2,1)*$AK$2+CALC_DMG(Q6*$AL$1,AN6,$AI$2,1)*$AL$2+CALC_DMG(Q6*$AM$1,AN6,$AI$2,1)*$AM$2</f>
        <v>#NAME?</v>
      </c>
      <c r="AP6" s="75" t="e">
        <f ca="1">AK6/AO6</f>
        <v>#NAME?</v>
      </c>
      <c r="AQ6" s="20" t="e">
        <f ca="1">CALC_DMG(R6*$AK$1,AN6,$AI$2,1)*$AK$2+CALC_DMG(R6*$AL$1,AN6,$AI$2,1)*$AL$2+CALC_DMG(R6*$AM$1,AN6,$AI$2,1)*$AM$2</f>
        <v>#NAME?</v>
      </c>
      <c r="AR6" s="75" t="e">
        <f ca="1">AK6/AQ6</f>
        <v>#NAME?</v>
      </c>
      <c r="AS6" s="20" t="e">
        <f ca="1">CALC_DMG(S6*$AK$1,AN6,$AI$2,1)*$AK$2+CALC_DMG(S6*$AL$1,AN6,$AI$2,1)*$AL$2+CALC_DMG(S6*$AM$1,AN6,$AI$2,1)*$AM$2</f>
        <v>#NAME?</v>
      </c>
      <c r="AT6" s="75" t="e">
        <f ca="1">AK6/AS6</f>
        <v>#NAME?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 t="e">
        <f ca="1">[1]!CALC_DMG(Q6*$AK$1,AZ6,$AI$2,1)*$AK$2+[1]!CALC_DMG(Q6*$AL$1,AZ6,$AI$2,1)*$AL$2+[1]!CALC_DMG(Q6*$AM$1,AZ6,$AI$2,1)*$AM$2</f>
        <v>#NAME?</v>
      </c>
      <c r="BB6" s="75" t="e">
        <f ca="1">AW6/BA6</f>
        <v>#NAME?</v>
      </c>
      <c r="BC6" s="20" t="e">
        <f ca="1">[1]!CALC_DMG(R6*$AK$1,AZ6,$AI$2,1)*$AK$2+[1]!CALC_DMG(R6*$AL$1,AZ6,$AI$2,1)*$AL$2+[1]!CALC_DMG(R6*$AM$1,AZ6,$AI$2,1)*$AM$2</f>
        <v>#NAME?</v>
      </c>
      <c r="BD6" s="75" t="e">
        <f ca="1">AW6/BC6</f>
        <v>#NAME?</v>
      </c>
      <c r="BE6" s="20" t="e">
        <f ca="1">[1]!CALC_DMG(S6*$AK$1,AZ6,$AI$2,1)*$AK$2+[1]!CALC_DMG(S6*$AL$1,AZ6,$AI$2,1)*$AL$2+[1]!CALC_DMG(S6*$AM$1,AZ6,$AI$2,1)*$AM$2</f>
        <v>#NAME?</v>
      </c>
      <c r="BF6" s="75" t="e">
        <f ca="1">AW6/BE6</f>
        <v>#NAME?</v>
      </c>
    </row>
    <row r="7" spans="2:58" ht="24" customHeight="1" x14ac:dyDescent="0.15">
      <c r="B7" s="8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 t="e">
        <f t="shared" ref="W7:W10" ca="1" si="2">CALC_DMG(AJ7,T7,$D$2, P7)</f>
        <v>#NAME?</v>
      </c>
      <c r="X7" s="79" t="e">
        <f t="shared" ref="X7:X10" ca="1" si="3">K7/W7</f>
        <v>#NAME?</v>
      </c>
      <c r="Y7" s="12" t="e">
        <f ca="1">[1]!CALC_DMG(AV7,T7,$D$2, P7)</f>
        <v>#NAME?</v>
      </c>
      <c r="Z7" s="79" t="e">
        <f t="shared" ref="Z7:Z10" ca="1" si="4">K7/Y7</f>
        <v>#NAME?</v>
      </c>
      <c r="AA7" s="15" t="e">
        <f t="shared" ref="AA7:AA10" ca="1" si="5">CALC_DMG(AJ7,U7,$D$2,P7)</f>
        <v>#NAME?</v>
      </c>
      <c r="AB7" s="78" t="e">
        <f t="shared" ref="AB7:AB10" ca="1" si="6">L7/AA7</f>
        <v>#NAME?</v>
      </c>
      <c r="AC7" s="15" t="e">
        <f ca="1">[1]!CALC_DMG(AV7,U7,$D$2,P7)</f>
        <v>#NAME?</v>
      </c>
      <c r="AD7" s="78" t="e">
        <f t="shared" ref="AD7:AD10" ca="1" si="7">L7/AC7</f>
        <v>#NAME?</v>
      </c>
      <c r="AE7" s="22" t="e">
        <f t="shared" ref="AE7:AE10" ca="1" si="8">CALC_DMG(AJ7,V7,$D$2,P7)</f>
        <v>#NAME?</v>
      </c>
      <c r="AF7" s="77" t="e">
        <f t="shared" ref="AF7:AF21" ca="1" si="9">M7/AE7</f>
        <v>#NAME?</v>
      </c>
      <c r="AG7" s="22" t="e">
        <f ca="1">[1]!CALC_DMG(AV7,V7,$D$2,P7)</f>
        <v>#NAME?</v>
      </c>
      <c r="AH7" s="77" t="e">
        <f t="shared" ref="AH7:AH10" ca="1" si="10">M7/AG7</f>
        <v>#NAME?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 t="e">
        <f ca="1">CALC_DMG(Q7*$AK$1,AN7,$AI$2,1)*$AK$2+CALC_DMG(Q7*$AL$1,AN7,$AI$2,1)*$AL$2+CALC_DMG(Q7*$AM$1,AN7,$AI$2,1)*$AM$2</f>
        <v>#NAME?</v>
      </c>
      <c r="AP7" s="75" t="e">
        <f ca="1">AK7/AO7</f>
        <v>#NAME?</v>
      </c>
      <c r="AQ7" s="20" t="e">
        <f ca="1">CALC_DMG(R7*$AK$1,AN7,$AI$2,1)*$AK$2+CALC_DMG(R7*$AL$1,AN7,$AI$2,1)*$AL$2+CALC_DMG(R7*$AM$1,AN7,$AI$2,1)*$AM$2</f>
        <v>#NAME?</v>
      </c>
      <c r="AR7" s="75" t="e">
        <f ca="1">AK7/AQ7</f>
        <v>#NAME?</v>
      </c>
      <c r="AS7" s="20" t="e">
        <f ca="1">CALC_DMG(S7*$AK$1,AN7,$AI$2,1)*$AK$2+CALC_DMG(S7*$AL$1,AN7,$AI$2,1)*$AL$2+CALC_DMG(S7*$AM$1,AN7,$AI$2,1)*$AM$2</f>
        <v>#NAME?</v>
      </c>
      <c r="AT7" s="75" t="e">
        <f ca="1">AK7/AS7</f>
        <v>#NAME?</v>
      </c>
      <c r="AV7" s="12">
        <f t="shared" ref="AV7:AV10" si="11">AJ7*$AV$2</f>
        <v>9.6</v>
      </c>
      <c r="AW7" s="15">
        <f t="shared" ref="AW7:AW10" si="12">AK7*$AW$2</f>
        <v>27</v>
      </c>
      <c r="AX7" s="16">
        <f t="shared" ref="AX7:AX10" si="13">AL7*$AX$2</f>
        <v>1.2</v>
      </c>
      <c r="AY7" s="17">
        <v>0</v>
      </c>
      <c r="AZ7" s="17">
        <f>AX7*(1+(0.02*AY7))</f>
        <v>1.2</v>
      </c>
      <c r="BA7" s="20" t="e">
        <f ca="1">[1]!CALC_DMG(Q7*$AK$1,AZ7,$AI$2,1)*$AK$2+[1]!CALC_DMG(Q7*$AL$1,AZ7,$AI$2,1)*$AL$2+[1]!CALC_DMG(Q7*$AM$1,AZ7,$AI$2,1)*$AM$2</f>
        <v>#NAME?</v>
      </c>
      <c r="BB7" s="75" t="e">
        <f t="shared" ref="BB7:BB10" ca="1" si="14">AW7/BA7</f>
        <v>#NAME?</v>
      </c>
      <c r="BC7" s="20" t="e">
        <f ca="1">[1]!CALC_DMG(R7*$AK$1,AZ7,$AI$2,1)*$AK$2+[1]!CALC_DMG(R7*$AL$1,AZ7,$AI$2,1)*$AL$2+[1]!CALC_DMG(R7*$AM$1,AZ7,$AI$2,1)*$AM$2</f>
        <v>#NAME?</v>
      </c>
      <c r="BD7" s="75" t="e">
        <f t="shared" ref="BD7:BD10" ca="1" si="15">AW7/BC7</f>
        <v>#NAME?</v>
      </c>
      <c r="BE7" s="20" t="e">
        <f ca="1">[1]!CALC_DMG(S7*$AK$1,AZ7,$AI$2,1)*$AK$2+[1]!CALC_DMG(S7*$AL$1,AZ7,$AI$2,1)*$AL$2+[1]!CALC_DMG(S7*$AM$1,AZ7,$AI$2,1)*$AM$2</f>
        <v>#NAME?</v>
      </c>
      <c r="BF7" s="75" t="e">
        <f t="shared" ref="BF7:BF10" ca="1" si="16">AW7/BE7</f>
        <v>#NAME?</v>
      </c>
    </row>
    <row r="8" spans="2:58" ht="24" customHeight="1" x14ac:dyDescent="0.15">
      <c r="B8" s="8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17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 t="e">
        <f t="shared" ca="1" si="2"/>
        <v>#NAME?</v>
      </c>
      <c r="X8" s="79" t="e">
        <f t="shared" ca="1" si="3"/>
        <v>#NAME?</v>
      </c>
      <c r="Y8" s="12" t="e">
        <f ca="1">[1]!CALC_DMG(AV8,T8,$D$2, P8)</f>
        <v>#NAME?</v>
      </c>
      <c r="Z8" s="79" t="e">
        <f t="shared" ca="1" si="4"/>
        <v>#NAME?</v>
      </c>
      <c r="AA8" s="15" t="e">
        <f t="shared" ca="1" si="5"/>
        <v>#NAME?</v>
      </c>
      <c r="AB8" s="78" t="e">
        <f t="shared" ca="1" si="6"/>
        <v>#NAME?</v>
      </c>
      <c r="AC8" s="15" t="e">
        <f ca="1">[1]!CALC_DMG(AV8,U8,$D$2,P8)</f>
        <v>#NAME?</v>
      </c>
      <c r="AD8" s="78" t="e">
        <f t="shared" ca="1" si="7"/>
        <v>#NAME?</v>
      </c>
      <c r="AE8" s="22" t="e">
        <f t="shared" ca="1" si="8"/>
        <v>#NAME?</v>
      </c>
      <c r="AF8" s="77" t="e">
        <f t="shared" ca="1" si="9"/>
        <v>#NAME?</v>
      </c>
      <c r="AG8" s="22" t="e">
        <f ca="1">[1]!CALC_DMG(AV8,V8,$D$2,P8)</f>
        <v>#NAME?</v>
      </c>
      <c r="AH8" s="77" t="e">
        <f t="shared" ca="1" si="10"/>
        <v>#NAME?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 t="e">
        <f ca="1">CALC_DMG(Q8*$AK$1,AN8,$AI$2,1)*$AK$2+CALC_DMG(Q8*$AL$1,AN8,$AI$2,1)*$AL$2+CALC_DMG(Q8*$AM$1,AN8,$AI$2,1)*$AM$2</f>
        <v>#NAME?</v>
      </c>
      <c r="AP8" s="75" t="e">
        <f ca="1">AK8/AO8</f>
        <v>#NAME?</v>
      </c>
      <c r="AQ8" s="20" t="e">
        <f ca="1">CALC_DMG(R8*$AK$1,AN8,$AI$2,1)*$AK$2+CALC_DMG(R8*$AL$1,AN8,$AI$2,1)*$AL$2+CALC_DMG(R8*$AM$1,AN8,$AI$2,1)*$AM$2</f>
        <v>#NAME?</v>
      </c>
      <c r="AR8" s="75" t="e">
        <f ca="1">AK8/AQ8</f>
        <v>#NAME?</v>
      </c>
      <c r="AS8" s="20" t="e">
        <f ca="1">CALC_DMG(S8*$AK$1,AN8,$AI$2,1)*$AK$2+CALC_DMG(S8*$AL$1,AN8,$AI$2,1)*$AL$2+CALC_DMG(S8*$AM$1,AN8,$AI$2,1)*$AM$2</f>
        <v>#NAME?</v>
      </c>
      <c r="AT8" s="75" t="e">
        <f ca="1">AK8/AS8</f>
        <v>#NAME?</v>
      </c>
      <c r="AV8" s="12">
        <f t="shared" si="11"/>
        <v>18.599999999999998</v>
      </c>
      <c r="AW8" s="15">
        <f t="shared" si="12"/>
        <v>84</v>
      </c>
      <c r="AX8" s="16">
        <f t="shared" si="13"/>
        <v>1.2</v>
      </c>
      <c r="AY8" s="17">
        <v>0</v>
      </c>
      <c r="AZ8" s="17">
        <f>AX8*(1+(0.02*AY8))</f>
        <v>1.2</v>
      </c>
      <c r="BA8" s="20" t="e">
        <f ca="1">[1]!CALC_DMG(Q8*$AK$1,AZ8,$AI$2,1)*$AK$2+[1]!CALC_DMG(Q8*$AL$1,AZ8,$AI$2,1)*$AL$2+[1]!CALC_DMG(Q8*$AM$1,AZ8,$AI$2,1)*$AM$2</f>
        <v>#NAME?</v>
      </c>
      <c r="BB8" s="75" t="e">
        <f t="shared" ca="1" si="14"/>
        <v>#NAME?</v>
      </c>
      <c r="BC8" s="20" t="e">
        <f ca="1">[1]!CALC_DMG(R8*$AK$1,AZ8,$AI$2,1)*$AK$2+[1]!CALC_DMG(R8*$AL$1,AZ8,$AI$2,1)*$AL$2+[1]!CALC_DMG(R8*$AM$1,AZ8,$AI$2,1)*$AM$2</f>
        <v>#NAME?</v>
      </c>
      <c r="BD8" s="75" t="e">
        <f t="shared" ca="1" si="15"/>
        <v>#NAME?</v>
      </c>
      <c r="BE8" s="20" t="e">
        <f ca="1">[1]!CALC_DMG(S8*$AK$1,AZ8,$AI$2,1)*$AK$2+[1]!CALC_DMG(S8*$AL$1,AZ8,$AI$2,1)*$AL$2+[1]!CALC_DMG(S8*$AM$1,AZ8,$AI$2,1)*$AM$2</f>
        <v>#NAME?</v>
      </c>
      <c r="BF8" s="75" t="e">
        <f t="shared" ca="1" si="16"/>
        <v>#NAME?</v>
      </c>
    </row>
    <row r="9" spans="2:58" ht="24" customHeight="1" x14ac:dyDescent="0.15">
      <c r="B9" s="8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17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 t="e">
        <f t="shared" ca="1" si="2"/>
        <v>#NAME?</v>
      </c>
      <c r="X9" s="79" t="e">
        <f t="shared" ca="1" si="3"/>
        <v>#NAME?</v>
      </c>
      <c r="Y9" s="12" t="e">
        <f ca="1">[1]!CALC_DMG(AV9,T9,$D$2, P9)</f>
        <v>#NAME?</v>
      </c>
      <c r="Z9" s="79" t="e">
        <f t="shared" ca="1" si="4"/>
        <v>#NAME?</v>
      </c>
      <c r="AA9" s="15" t="e">
        <f t="shared" ca="1" si="5"/>
        <v>#NAME?</v>
      </c>
      <c r="AB9" s="78" t="e">
        <f t="shared" ca="1" si="6"/>
        <v>#NAME?</v>
      </c>
      <c r="AC9" s="15" t="e">
        <f ca="1">[1]!CALC_DMG(AV9,U9,$D$2,P9)</f>
        <v>#NAME?</v>
      </c>
      <c r="AD9" s="78" t="e">
        <f t="shared" ca="1" si="7"/>
        <v>#NAME?</v>
      </c>
      <c r="AE9" s="22" t="e">
        <f t="shared" ca="1" si="8"/>
        <v>#NAME?</v>
      </c>
      <c r="AF9" s="77" t="e">
        <f t="shared" ca="1" si="9"/>
        <v>#NAME?</v>
      </c>
      <c r="AG9" s="22" t="e">
        <f ca="1">[1]!CALC_DMG(AV9,V9,$D$2,P9)</f>
        <v>#NAME?</v>
      </c>
      <c r="AH9" s="77" t="e">
        <f t="shared" ca="1" si="10"/>
        <v>#NAME?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 t="e">
        <f ca="1">CALC_DMG(Q9*$AK$1,AN9,$AI$2,1)*$AK$2+CALC_DMG(Q9*$AL$1,AN9,$AI$2,1)*$AL$2+CALC_DMG(Q9*$AM$1,AN9,$AI$2,1)*$AM$2</f>
        <v>#NAME?</v>
      </c>
      <c r="AP9" s="75" t="e">
        <f ca="1">AK9/AO9</f>
        <v>#NAME?</v>
      </c>
      <c r="AQ9" s="20" t="e">
        <f ca="1">CALC_DMG(R9*$AK$1,AN9,$AI$2,1)*$AK$2+CALC_DMG(R9*$AL$1,AN9,$AI$2,1)*$AL$2+CALC_DMG(R9*$AM$1,AN9,$AI$2,1)*$AM$2</f>
        <v>#NAME?</v>
      </c>
      <c r="AR9" s="75" t="e">
        <f ca="1">AK9/AQ9</f>
        <v>#NAME?</v>
      </c>
      <c r="AS9" s="20" t="e">
        <f ca="1">CALC_DMG(S9*$AK$1,AN9,$AI$2,1)*$AK$2+CALC_DMG(S9*$AL$1,AN9,$AI$2,1)*$AL$2+CALC_DMG(S9*$AM$1,AN9,$AI$2,1)*$AM$2</f>
        <v>#NAME?</v>
      </c>
      <c r="AT9" s="75" t="e">
        <f ca="1">AK9/AS9</f>
        <v>#NAME?</v>
      </c>
      <c r="AV9" s="12">
        <f t="shared" si="11"/>
        <v>38.4</v>
      </c>
      <c r="AW9" s="15">
        <f t="shared" si="12"/>
        <v>126</v>
      </c>
      <c r="AX9" s="16">
        <f t="shared" si="13"/>
        <v>3.5999999999999996</v>
      </c>
      <c r="AY9" s="17">
        <v>0</v>
      </c>
      <c r="AZ9" s="17">
        <f>AX9*(1+(0.02*AY9))</f>
        <v>3.5999999999999996</v>
      </c>
      <c r="BA9" s="20" t="e">
        <f ca="1">[1]!CALC_DMG(Q9*$AK$1,AZ9,$AI$2,1)*$AK$2+[1]!CALC_DMG(Q9*$AL$1,AZ9,$AI$2,1)*$AL$2+[1]!CALC_DMG(Q9*$AM$1,AZ9,$AI$2,1)*$AM$2</f>
        <v>#NAME?</v>
      </c>
      <c r="BB9" s="75" t="e">
        <f t="shared" ca="1" si="14"/>
        <v>#NAME?</v>
      </c>
      <c r="BC9" s="20" t="e">
        <f ca="1">[1]!CALC_DMG(R9*$AK$1,AZ9,$AI$2,1)*$AK$2+[1]!CALC_DMG(R9*$AL$1,AZ9,$AI$2,1)*$AL$2+[1]!CALC_DMG(R9*$AM$1,AZ9,$AI$2,1)*$AM$2</f>
        <v>#NAME?</v>
      </c>
      <c r="BD9" s="75" t="e">
        <f t="shared" ca="1" si="15"/>
        <v>#NAME?</v>
      </c>
      <c r="BE9" s="20" t="e">
        <f ca="1">[1]!CALC_DMG(S9*$AK$1,AZ9,$AI$2,1)*$AK$2+[1]!CALC_DMG(S9*$AL$1,AZ9,$AI$2,1)*$AL$2+[1]!CALC_DMG(S9*$AM$1,AZ9,$AI$2,1)*$AM$2</f>
        <v>#NAME?</v>
      </c>
      <c r="BF9" s="75" t="e">
        <f t="shared" ca="1" si="16"/>
        <v>#NAME?</v>
      </c>
    </row>
    <row r="10" spans="2:58" ht="24" customHeight="1" x14ac:dyDescent="0.15">
      <c r="B10" s="8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17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 t="e">
        <f t="shared" ca="1" si="2"/>
        <v>#NAME?</v>
      </c>
      <c r="X10" s="79" t="e">
        <f t="shared" ca="1" si="3"/>
        <v>#NAME?</v>
      </c>
      <c r="Y10" s="12" t="e">
        <f ca="1">[1]!CALC_DMG(AV10,T10,$D$2, P10)</f>
        <v>#NAME?</v>
      </c>
      <c r="Z10" s="79" t="e">
        <f t="shared" ca="1" si="4"/>
        <v>#NAME?</v>
      </c>
      <c r="AA10" s="15" t="e">
        <f t="shared" ca="1" si="5"/>
        <v>#NAME?</v>
      </c>
      <c r="AB10" s="78" t="e">
        <f t="shared" ca="1" si="6"/>
        <v>#NAME?</v>
      </c>
      <c r="AC10" s="15" t="e">
        <f ca="1">[1]!CALC_DMG(AV10,U10,$D$2,P10)</f>
        <v>#NAME?</v>
      </c>
      <c r="AD10" s="78" t="e">
        <f t="shared" ca="1" si="7"/>
        <v>#NAME?</v>
      </c>
      <c r="AE10" s="22" t="e">
        <f t="shared" ca="1" si="8"/>
        <v>#NAME?</v>
      </c>
      <c r="AF10" s="77" t="e">
        <f t="shared" ca="1" si="9"/>
        <v>#NAME?</v>
      </c>
      <c r="AG10" s="22" t="e">
        <f ca="1">[1]!CALC_DMG(AV10,V10,$D$2,P10)</f>
        <v>#NAME?</v>
      </c>
      <c r="AH10" s="77" t="e">
        <f t="shared" ca="1" si="10"/>
        <v>#NAME?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 t="e">
        <f ca="1">CALC_DMG(Q10*$AK$1,AN10,$AI$2,1)*$AK$2+CALC_DMG(Q10*$AL$1,AN10,$AI$2,1)*$AL$2+CALC_DMG(Q10*$AM$1,AN10,$AI$2,1)*$AM$2</f>
        <v>#NAME?</v>
      </c>
      <c r="AP10" s="75" t="e">
        <f ca="1">AK10/AO10</f>
        <v>#NAME?</v>
      </c>
      <c r="AQ10" s="20" t="e">
        <f ca="1">CALC_DMG(R10*$AK$1,AN10,$AI$2,1)*$AK$2+CALC_DMG(R10*$AL$1,AN10,$AI$2,1)*$AL$2+CALC_DMG(R10*$AM$1,AN10,$AI$2,1)*$AM$2</f>
        <v>#NAME?</v>
      </c>
      <c r="AR10" s="75" t="e">
        <f ca="1">AK10/AQ10</f>
        <v>#NAME?</v>
      </c>
      <c r="AS10" s="20" t="e">
        <f ca="1">CALC_DMG(S10*$AK$1,AN10,$AI$2,1)*$AK$2+CALC_DMG(S10*$AL$1,AN10,$AI$2,1)*$AL$2+CALC_DMG(S10*$AM$1,AN10,$AI$2,1)*$AM$2</f>
        <v>#NAME?</v>
      </c>
      <c r="AT10" s="75" t="e">
        <f ca="1">AK10/AS10</f>
        <v>#NAME?</v>
      </c>
      <c r="AV10" s="12">
        <f t="shared" si="11"/>
        <v>56.4</v>
      </c>
      <c r="AW10" s="15">
        <f t="shared" si="12"/>
        <v>180</v>
      </c>
      <c r="AX10" s="16">
        <f t="shared" si="13"/>
        <v>6</v>
      </c>
      <c r="AY10" s="17">
        <v>0</v>
      </c>
      <c r="AZ10" s="17">
        <f>AX10*(1+(0.02*AY10))</f>
        <v>6</v>
      </c>
      <c r="BA10" s="20" t="e">
        <f ca="1">[1]!CALC_DMG(Q10*$AK$1,AZ10,$AI$2,1)*$AK$2+[1]!CALC_DMG(Q10*$AL$1,AZ10,$AI$2,1)*$AL$2+[1]!CALC_DMG(Q10*$AM$1,AZ10,$AI$2,1)*$AM$2</f>
        <v>#NAME?</v>
      </c>
      <c r="BB10" s="75" t="e">
        <f t="shared" ca="1" si="14"/>
        <v>#NAME?</v>
      </c>
      <c r="BC10" s="20" t="e">
        <f ca="1">[1]!CALC_DMG(R10*$AK$1,AZ10,$AI$2,1)*$AK$2+[1]!CALC_DMG(R10*$AL$1,AZ10,$AI$2,1)*$AL$2+[1]!CALC_DMG(R10*$AM$1,AZ10,$AI$2,1)*$AM$2</f>
        <v>#NAME?</v>
      </c>
      <c r="BD10" s="75" t="e">
        <f t="shared" ca="1" si="15"/>
        <v>#NAME?</v>
      </c>
      <c r="BE10" s="20" t="e">
        <f ca="1">[1]!CALC_DMG(S10*$AK$1,AZ10,$AI$2,1)*$AK$2+[1]!CALC_DMG(S10*$AL$1,AZ10,$AI$2,1)*$AL$2+[1]!CALC_DMG(S10*$AM$1,AZ10,$AI$2,1)*$AM$2</f>
        <v>#NAME?</v>
      </c>
      <c r="BF10" s="75" t="e">
        <f t="shared" ca="1" si="16"/>
        <v>#NAME?</v>
      </c>
    </row>
    <row r="11" spans="2:58" ht="24" customHeight="1" x14ac:dyDescent="0.15">
      <c r="B11" s="89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8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18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19">AVERAGE(Q12,S12)</f>
        <v>102.81499999999998</v>
      </c>
      <c r="S12" s="24">
        <v>72</v>
      </c>
      <c r="T12" s="25">
        <f>N12*(1+(O12*0.02))</f>
        <v>48</v>
      </c>
      <c r="U12" s="25">
        <f t="shared" ref="U12:U14" si="20">AVERAGE(T12,V12)</f>
        <v>34</v>
      </c>
      <c r="V12" s="25">
        <v>20</v>
      </c>
      <c r="W12" s="12" t="e">
        <f t="shared" ref="W12:W14" ca="1" si="21">CALC_DMG(AJ12,T12,$D$2, P12)</f>
        <v>#NAME?</v>
      </c>
      <c r="X12" s="79" t="e">
        <f t="shared" ref="X12:X14" ca="1" si="22">K12/W12</f>
        <v>#NAME?</v>
      </c>
      <c r="Y12" s="12" t="e">
        <f ca="1">[1]!CALC_DMG(AV12,T12,$D$2, P12)</f>
        <v>#NAME?</v>
      </c>
      <c r="Z12" s="79" t="e">
        <f t="shared" ref="Z12:Z14" ca="1" si="23">K12/Y12</f>
        <v>#NAME?</v>
      </c>
      <c r="AA12" s="15" t="e">
        <f t="shared" ref="AA12:AA14" ca="1" si="24">CALC_DMG(AJ12,U12,$D$2,P12)</f>
        <v>#NAME?</v>
      </c>
      <c r="AB12" s="78" t="e">
        <f t="shared" ref="AB12:AB14" ca="1" si="25">L12/AA12</f>
        <v>#NAME?</v>
      </c>
      <c r="AC12" s="15" t="e">
        <f ca="1">[1]!CALC_DMG(AV12,U12,$D$2,P12)</f>
        <v>#NAME?</v>
      </c>
      <c r="AD12" s="78" t="e">
        <f t="shared" ref="AD12:AD14" ca="1" si="26">L12/AC12</f>
        <v>#NAME?</v>
      </c>
      <c r="AE12" s="22" t="e">
        <f t="shared" ref="AE12:AE14" ca="1" si="27">CALC_DMG(AJ12,V12,$D$2,P12)</f>
        <v>#NAME?</v>
      </c>
      <c r="AF12" s="77" t="e">
        <f t="shared" ca="1" si="9"/>
        <v>#NAME?</v>
      </c>
      <c r="AG12" s="22" t="e">
        <f ca="1">[1]!CALC_DMG(AV12,V12,$D$2,P12)</f>
        <v>#NAME?</v>
      </c>
      <c r="AH12" s="77" t="e">
        <f t="shared" ref="AH12:AH14" ca="1" si="28">M12/AG12</f>
        <v>#NAME?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29">AL12*(1+(0.02*AM12))</f>
        <v>20</v>
      </c>
      <c r="AO12" s="20" t="e">
        <f ca="1">[1]!CALC_DMG(Q12*$AK$1,AN12,$AI$2,1)*$AK$2+[1]!CALC_DMG(Q12*$AL$1,AN12,$AI$2,1)*$AL$2+[1]!CALC_DMG(Q12*$AM$1,AN12,$AI$2,1)*$AM$2</f>
        <v>#NAME?</v>
      </c>
      <c r="AP12" s="75" t="e">
        <f ca="1">AK12/AO12</f>
        <v>#NAME?</v>
      </c>
      <c r="AQ12" s="20" t="e">
        <f ca="1">[1]!CALC_DMG(R12*$AK$1,AN12,$AI$2,1)*$AK$2+[1]!CALC_DMG(R12*$AL$1,AN12,$AI$2,1)*$AL$2+[1]!CALC_DMG(R12*$AM$1,AN12,$AI$2,1)*$AM$2</f>
        <v>#NAME?</v>
      </c>
      <c r="AR12" s="75" t="e">
        <f ca="1">AK12/AQ12</f>
        <v>#NAME?</v>
      </c>
      <c r="AS12" s="20" t="e">
        <f ca="1">CALC_DMG(S12*$AK$1,AN12,$AI$2,1)*$AK$2+CALC_DMG(S12*$AL$1,AN12,$AI$2,1)*$AL$2+CALC_DMG(S12*$AM$1,AN12,$AI$2,1)*$AM$2</f>
        <v>#NAME?</v>
      </c>
      <c r="AT12" s="75" t="e">
        <f ca="1">AK12/AS12</f>
        <v>#NAME?</v>
      </c>
      <c r="AV12" s="12">
        <f t="shared" ref="AV12:AV14" si="30">AJ12*$AV$2</f>
        <v>104.39999999999999</v>
      </c>
      <c r="AW12" s="15">
        <f t="shared" ref="AW12:AW14" si="31">AK12*$AW$2</f>
        <v>480</v>
      </c>
      <c r="AX12" s="16">
        <f t="shared" ref="AX12:AX14" si="32">AL12*$AX$2</f>
        <v>12</v>
      </c>
      <c r="AY12" s="17">
        <v>0</v>
      </c>
      <c r="AZ12" s="17">
        <f t="shared" ref="AZ12:AZ14" si="33">AX12*(1+(0.02*AY12))</f>
        <v>12</v>
      </c>
      <c r="BA12" s="20" t="e">
        <f ca="1">[1]!CALC_DMG(Q12*$AK$1,AZ12,$AI$2,1)*$AK$2+[1]!CALC_DMG(Q12*$AL$1,AZ12,$AI$2,1)*$AL$2+[1]!CALC_DMG(Q12*$AM$1,AZ12,$AI$2,1)*$AM$2</f>
        <v>#NAME?</v>
      </c>
      <c r="BB12" s="75" t="e">
        <f t="shared" ref="BB12:BB14" ca="1" si="34">AW12/BA12</f>
        <v>#NAME?</v>
      </c>
      <c r="BC12" s="20" t="e">
        <f ca="1">[1]!CALC_DMG(R12*$AK$1,AZ12,$AI$2,1)*$AK$2+[1]!CALC_DMG(R12*$AL$1,AZ12,$AI$2,1)*$AL$2+[1]!CALC_DMG(R12*$AM$1,AZ12,$AI$2,1)*$AM$2</f>
        <v>#NAME?</v>
      </c>
      <c r="BD12" s="75" t="e">
        <f t="shared" ref="BD12:BD14" ca="1" si="35">AW12/BC12</f>
        <v>#NAME?</v>
      </c>
      <c r="BE12" s="20" t="e">
        <f ca="1">[1]!CALC_DMG(S12*$AK$1,AZ12,$AI$2,1)*$AK$2+[1]!CALC_DMG(S12*$AL$1,AZ12,$AI$2,1)*$AL$2+[1]!CALC_DMG(S12*$AM$1,AZ12,$AI$2,1)*$AM$2</f>
        <v>#NAME?</v>
      </c>
      <c r="BF12" s="75" t="e">
        <f t="shared" ref="BF12:BF14" ca="1" si="36">AW12/BE12</f>
        <v>#NAME?</v>
      </c>
    </row>
    <row r="13" spans="2:58" ht="24" customHeight="1" x14ac:dyDescent="0.15">
      <c r="B13" s="8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18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19"/>
        <v>167.75</v>
      </c>
      <c r="S13" s="24">
        <v>115</v>
      </c>
      <c r="T13" s="25">
        <f>N13*(1+(O13*0.02))</f>
        <v>76.8</v>
      </c>
      <c r="U13" s="25">
        <f t="shared" si="20"/>
        <v>59.4</v>
      </c>
      <c r="V13" s="25">
        <v>42</v>
      </c>
      <c r="W13" s="12" t="e">
        <f t="shared" ca="1" si="21"/>
        <v>#NAME?</v>
      </c>
      <c r="X13" s="79" t="e">
        <f t="shared" ca="1" si="22"/>
        <v>#NAME?</v>
      </c>
      <c r="Y13" s="12" t="e">
        <f ca="1">[1]!CALC_DMG(AV13,T13,$D$2, P13)</f>
        <v>#NAME?</v>
      </c>
      <c r="Z13" s="79" t="e">
        <f t="shared" ca="1" si="23"/>
        <v>#NAME?</v>
      </c>
      <c r="AA13" s="15" t="e">
        <f t="shared" ca="1" si="24"/>
        <v>#NAME?</v>
      </c>
      <c r="AB13" s="78" t="e">
        <f t="shared" ca="1" si="25"/>
        <v>#NAME?</v>
      </c>
      <c r="AC13" s="15" t="e">
        <f ca="1">[1]!CALC_DMG(AV13,U13,$D$2,P13)</f>
        <v>#NAME?</v>
      </c>
      <c r="AD13" s="78" t="e">
        <f t="shared" ca="1" si="26"/>
        <v>#NAME?</v>
      </c>
      <c r="AE13" s="22" t="e">
        <f t="shared" ca="1" si="27"/>
        <v>#NAME?</v>
      </c>
      <c r="AF13" s="77" t="e">
        <f t="shared" ca="1" si="9"/>
        <v>#NAME?</v>
      </c>
      <c r="AG13" s="22" t="e">
        <f ca="1">[1]!CALC_DMG(AV13,V13,$D$2,P13)</f>
        <v>#NAME?</v>
      </c>
      <c r="AH13" s="77" t="e">
        <f t="shared" ca="1" si="28"/>
        <v>#NAME?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29"/>
        <v>40</v>
      </c>
      <c r="AO13" s="20" t="e">
        <f ca="1">[1]!CALC_DMG(Q13*$AK$1,AN13,$AI$2,1)*$AK$2+[1]!CALC_DMG(Q13*$AL$1,AN13,$AI$2,1)*$AL$2+[1]!CALC_DMG(Q13*$AM$1,AN13,$AI$2,1)*$AM$2</f>
        <v>#NAME?</v>
      </c>
      <c r="AP13" s="75" t="e">
        <f ca="1">AK13/AO13</f>
        <v>#NAME?</v>
      </c>
      <c r="AQ13" s="20" t="e">
        <f ca="1">[1]!CALC_DMG(R13*$AK$1,AN13,$AI$2,1)*$AK$2+[1]!CALC_DMG(R13*$AL$1,AN13,$AI$2,1)*$AL$2+[1]!CALC_DMG(R13*$AM$1,AN13,$AI$2,1)*$AM$2</f>
        <v>#NAME?</v>
      </c>
      <c r="AR13" s="75" t="e">
        <f ca="1">AK13/AQ13</f>
        <v>#NAME?</v>
      </c>
      <c r="AS13" s="20" t="e">
        <f ca="1">CALC_DMG(S13*$AK$1,AN13,$AI$2,1)*$AK$2+CALC_DMG(S13*$AL$1,AN13,$AI$2,1)*$AL$2+CALC_DMG(S13*$AM$1,AN13,$AI$2,1)*$AM$2</f>
        <v>#NAME?</v>
      </c>
      <c r="AT13" s="75" t="e">
        <f ca="1">AK13/AS13</f>
        <v>#NAME?</v>
      </c>
      <c r="AV13" s="12">
        <f t="shared" si="30"/>
        <v>174</v>
      </c>
      <c r="AW13" s="15">
        <f t="shared" si="31"/>
        <v>660</v>
      </c>
      <c r="AX13" s="16">
        <f t="shared" si="32"/>
        <v>24</v>
      </c>
      <c r="AY13" s="17">
        <v>0</v>
      </c>
      <c r="AZ13" s="17">
        <f t="shared" si="33"/>
        <v>24</v>
      </c>
      <c r="BA13" s="20" t="e">
        <f ca="1">[1]!CALC_DMG(Q13*$AK$1,AZ13,$AI$2,1)*$AK$2+[1]!CALC_DMG(Q13*$AL$1,AZ13,$AI$2,1)*$AL$2+[1]!CALC_DMG(Q13*$AM$1,AZ13,$AI$2,1)*$AM$2</f>
        <v>#NAME?</v>
      </c>
      <c r="BB13" s="75" t="e">
        <f t="shared" ca="1" si="34"/>
        <v>#NAME?</v>
      </c>
      <c r="BC13" s="20" t="e">
        <f ca="1">[1]!CALC_DMG(R13*$AK$1,AZ13,$AI$2,1)*$AK$2+[1]!CALC_DMG(R13*$AL$1,AZ13,$AI$2,1)*$AL$2+[1]!CALC_DMG(R13*$AM$1,AZ13,$AI$2,1)*$AM$2</f>
        <v>#NAME?</v>
      </c>
      <c r="BD13" s="75" t="e">
        <f t="shared" ca="1" si="35"/>
        <v>#NAME?</v>
      </c>
      <c r="BE13" s="20" t="e">
        <f ca="1">[1]!CALC_DMG(S13*$AK$1,AZ13,$AI$2,1)*$AK$2+[1]!CALC_DMG(S13*$AL$1,AZ13,$AI$2,1)*$AL$2+[1]!CALC_DMG(S13*$AM$1,AZ13,$AI$2,1)*$AM$2</f>
        <v>#NAME?</v>
      </c>
      <c r="BF13" s="75" t="e">
        <f t="shared" ca="1" si="36"/>
        <v>#NAME?</v>
      </c>
    </row>
    <row r="14" spans="2:58" ht="24" customHeight="1" x14ac:dyDescent="0.15">
      <c r="B14" s="8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18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19"/>
        <v>339.10749999999996</v>
      </c>
      <c r="S14" s="24">
        <v>320</v>
      </c>
      <c r="T14" s="25">
        <f>N14*(1+(O14*0.02))</f>
        <v>108.79999999999998</v>
      </c>
      <c r="U14" s="25">
        <f t="shared" si="20"/>
        <v>89.399999999999991</v>
      </c>
      <c r="V14" s="25">
        <v>70</v>
      </c>
      <c r="W14" s="12" t="e">
        <f t="shared" ca="1" si="21"/>
        <v>#NAME?</v>
      </c>
      <c r="X14" s="79" t="e">
        <f t="shared" ca="1" si="22"/>
        <v>#NAME?</v>
      </c>
      <c r="Y14" s="12" t="e">
        <f ca="1">[1]!CALC_DMG(AV14,T14,$D$2, P14)</f>
        <v>#NAME?</v>
      </c>
      <c r="Z14" s="79" t="e">
        <f t="shared" ca="1" si="23"/>
        <v>#NAME?</v>
      </c>
      <c r="AA14" s="15" t="e">
        <f t="shared" ca="1" si="24"/>
        <v>#NAME?</v>
      </c>
      <c r="AB14" s="78" t="e">
        <f t="shared" ca="1" si="25"/>
        <v>#NAME?</v>
      </c>
      <c r="AC14" s="15" t="e">
        <f ca="1">[1]!CALC_DMG(AV14,U14,$D$2,P14)</f>
        <v>#NAME?</v>
      </c>
      <c r="AD14" s="78" t="e">
        <f t="shared" ca="1" si="26"/>
        <v>#NAME?</v>
      </c>
      <c r="AE14" s="22" t="e">
        <f t="shared" ca="1" si="27"/>
        <v>#NAME?</v>
      </c>
      <c r="AF14" s="77" t="e">
        <f t="shared" ca="1" si="9"/>
        <v>#NAME?</v>
      </c>
      <c r="AG14" s="22" t="e">
        <f ca="1">[1]!CALC_DMG(AV14,V14,$D$2,P14)</f>
        <v>#NAME?</v>
      </c>
      <c r="AH14" s="77" t="e">
        <f t="shared" ca="1" si="28"/>
        <v>#NAME?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29"/>
        <v>60</v>
      </c>
      <c r="AO14" s="20" t="e">
        <f ca="1">[1]!CALC_DMG(Q14*$AK$1,AN14,$AI$2,1)*$AK$2+[1]!CALC_DMG(Q14*$AL$1,AN14,$AI$2,1)*$AL$2+[1]!CALC_DMG(Q14*$AM$1,AN14,$AI$2,1)*$AM$2</f>
        <v>#NAME?</v>
      </c>
      <c r="AP14" s="75" t="e">
        <f ca="1">AK14/AO14</f>
        <v>#NAME?</v>
      </c>
      <c r="AQ14" s="20" t="e">
        <f ca="1">[1]!CALC_DMG(R14*$AK$1,AN14,$AI$2,1)*$AK$2+[1]!CALC_DMG(R14*$AL$1,AN14,$AI$2,1)*$AL$2+[1]!CALC_DMG(R14*$AM$1,AN14,$AI$2,1)*$AM$2</f>
        <v>#NAME?</v>
      </c>
      <c r="AR14" s="75" t="e">
        <f ca="1">AK14/AQ14</f>
        <v>#NAME?</v>
      </c>
      <c r="AS14" s="20" t="e">
        <f ca="1">CALC_DMG(S14*$AK$1,AN14,$AI$2,1)*$AK$2+CALC_DMG(S14*$AL$1,AN14,$AI$2,1)*$AL$2+CALC_DMG(S14*$AM$1,AN14,$AI$2,1)*$AM$2</f>
        <v>#NAME?</v>
      </c>
      <c r="AT14" s="75" t="e">
        <f ca="1">AK14/AS14</f>
        <v>#NAME?</v>
      </c>
      <c r="AV14" s="12">
        <f t="shared" si="30"/>
        <v>258</v>
      </c>
      <c r="AW14" s="15">
        <f t="shared" si="31"/>
        <v>2400</v>
      </c>
      <c r="AX14" s="16">
        <f t="shared" si="32"/>
        <v>36</v>
      </c>
      <c r="AY14" s="17">
        <v>0</v>
      </c>
      <c r="AZ14" s="17">
        <f t="shared" si="33"/>
        <v>36</v>
      </c>
      <c r="BA14" s="20" t="e">
        <f ca="1">[1]!CALC_DMG(Q14*$AK$1,AZ14,$AI$2,1)*$AK$2+[1]!CALC_DMG(Q14*$AL$1,AZ14,$AI$2,1)*$AL$2+[1]!CALC_DMG(Q14*$AM$1,AZ14,$AI$2,1)*$AM$2</f>
        <v>#NAME?</v>
      </c>
      <c r="BB14" s="75" t="e">
        <f t="shared" ca="1" si="34"/>
        <v>#NAME?</v>
      </c>
      <c r="BC14" s="20" t="e">
        <f ca="1">[1]!CALC_DMG(R14*$AK$1,AZ14,$AI$2,1)*$AK$2+[1]!CALC_DMG(R14*$AL$1,AZ14,$AI$2,1)*$AL$2+[1]!CALC_DMG(R14*$AM$1,AZ14,$AI$2,1)*$AM$2</f>
        <v>#NAME?</v>
      </c>
      <c r="BD14" s="75" t="e">
        <f t="shared" ca="1" si="35"/>
        <v>#NAME?</v>
      </c>
      <c r="BE14" s="20" t="e">
        <f ca="1">[1]!CALC_DMG(S14*$AK$1,AZ14,$AI$2,1)*$AK$2+[1]!CALC_DMG(S14*$AL$1,AZ14,$AI$2,1)*$AL$2+[1]!CALC_DMG(S14*$AM$1,AZ14,$AI$2,1)*$AM$2</f>
        <v>#NAME?</v>
      </c>
      <c r="BF14" s="75" t="e">
        <f t="shared" ca="1" si="36"/>
        <v>#NAME?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37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38">AVERAGE(Q16,S16)</f>
        <v>447.15999999999997</v>
      </c>
      <c r="S16" s="24">
        <v>350</v>
      </c>
      <c r="T16" s="25">
        <f>N16*(1+(O16*0.02))</f>
        <v>167.2</v>
      </c>
      <c r="U16" s="25">
        <f t="shared" ref="U16:U18" si="39">AVERAGE(T16,V16)</f>
        <v>131.1</v>
      </c>
      <c r="V16" s="25">
        <v>95</v>
      </c>
      <c r="W16" s="12" t="e">
        <f t="shared" ref="W16:W18" ca="1" si="40">CALC_DMG(AJ16,T16,$D$2, P16)</f>
        <v>#NAME?</v>
      </c>
      <c r="X16" s="79" t="e">
        <f t="shared" ref="X16:X18" ca="1" si="41">K16/W16</f>
        <v>#NAME?</v>
      </c>
      <c r="Y16" s="12" t="e">
        <f ca="1">[1]!CALC_DMG(AV16,T16,$D$2, P16)</f>
        <v>#NAME?</v>
      </c>
      <c r="Z16" s="79" t="e">
        <f t="shared" ref="Z16:Z18" ca="1" si="42">K16/Y16</f>
        <v>#NAME?</v>
      </c>
      <c r="AA16" s="15" t="e">
        <f t="shared" ref="AA16:AA18" ca="1" si="43">CALC_DMG(AJ16,U16,$D$2,P16)</f>
        <v>#NAME?</v>
      </c>
      <c r="AB16" s="78" t="e">
        <f t="shared" ref="AB16:AB18" ca="1" si="44">L16/AA16</f>
        <v>#NAME?</v>
      </c>
      <c r="AC16" s="15" t="e">
        <f ca="1">[1]!CALC_DMG(AV16,U16,$D$2,P16)</f>
        <v>#NAME?</v>
      </c>
      <c r="AD16" s="78" t="e">
        <f t="shared" ref="AD16:AD18" ca="1" si="45">L16/AC16</f>
        <v>#NAME?</v>
      </c>
      <c r="AE16" s="22" t="e">
        <f t="shared" ref="AE16:AE18" ca="1" si="46">CALC_DMG(AJ16,V16,$D$2,P16)</f>
        <v>#NAME?</v>
      </c>
      <c r="AF16" s="77" t="e">
        <f t="shared" ca="1" si="9"/>
        <v>#NAME?</v>
      </c>
      <c r="AG16" s="22" t="e">
        <f ca="1">[1]!CALC_DMG(AV16,V16,$D$2,P16)</f>
        <v>#NAME?</v>
      </c>
      <c r="AH16" s="77" t="e">
        <f t="shared" ref="AH16:AH18" ca="1" si="47">M16/AG16</f>
        <v>#NAME?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48">AL16*(1+(0.02*AM16))</f>
        <v>80</v>
      </c>
      <c r="AO16" s="20" t="e">
        <f ca="1">[1]!CALC_DMG(Q16*$AK$1,AN16,$AI$2,1)*$AK$2+[1]!CALC_DMG(Q16*$AL$1,AN16,$AI$2,1)*$AL$2+[1]!CALC_DMG(Q16*$AM$1,AN16,$AI$2,1)*$AM$2</f>
        <v>#NAME?</v>
      </c>
      <c r="AP16" s="75" t="e">
        <f ca="1">AK16/AO16</f>
        <v>#NAME?</v>
      </c>
      <c r="AQ16" s="20" t="e">
        <f ca="1">[1]!CALC_DMG(R16*$AK$1,AN16,$AI$2,1)*$AK$2+[1]!CALC_DMG(R16*$AL$1,AN16,$AI$2,1)*$AL$2+[1]!CALC_DMG(R16*$AM$1,AN16,$AI$2,1)*$AM$2</f>
        <v>#NAME?</v>
      </c>
      <c r="AR16" s="75" t="e">
        <f ca="1">AK16/AQ16</f>
        <v>#NAME?</v>
      </c>
      <c r="AS16" s="20" t="e">
        <f ca="1">CALC_DMG(S16*$AK$1,AN16,$AI$2,1)*$AK$2+CALC_DMG(S16*$AL$1,AN16,$AI$2,1)*$AL$2+CALC_DMG(S16*$AM$1,AN16,$AI$2,1)*$AM$2</f>
        <v>#NAME?</v>
      </c>
      <c r="AT16" s="75" t="e">
        <f ca="1">AK16/AS16</f>
        <v>#NAME?</v>
      </c>
      <c r="AV16" s="12">
        <f t="shared" ref="AV16:AV18" si="49">AJ16*$AV$2</f>
        <v>390</v>
      </c>
      <c r="AW16" s="15">
        <f t="shared" ref="AW16:AW18" si="50">AK16*$AW$2</f>
        <v>2700</v>
      </c>
      <c r="AX16" s="16">
        <f t="shared" ref="AX16:AX18" si="51">AL16*$AX$2</f>
        <v>48</v>
      </c>
      <c r="AY16" s="17">
        <v>0</v>
      </c>
      <c r="AZ16" s="17">
        <f t="shared" ref="AZ16:AZ18" si="52">AX16*(1+(0.02*AY16))</f>
        <v>48</v>
      </c>
      <c r="BA16" s="20" t="e">
        <f ca="1">[1]!CALC_DMG(Q16*$AK$1,AZ16,$AI$2,1)*$AK$2+[1]!CALC_DMG(Q16*$AL$1,AZ16,$AI$2,1)*$AL$2+[1]!CALC_DMG(Q16*$AM$1,AZ16,$AI$2,1)*$AM$2</f>
        <v>#NAME?</v>
      </c>
      <c r="BB16" s="75" t="e">
        <f t="shared" ref="BB16:BB18" ca="1" si="53">AW16/BA16</f>
        <v>#NAME?</v>
      </c>
      <c r="BC16" s="20" t="e">
        <f ca="1">[1]!CALC_DMG(R16*$AK$1,AZ16,$AI$2,1)*$AK$2+[1]!CALC_DMG(R16*$AL$1,AZ16,$AI$2,1)*$AL$2+[1]!CALC_DMG(R16*$AM$1,AZ16,$AI$2,1)*$AM$2</f>
        <v>#NAME?</v>
      </c>
      <c r="BD16" s="75" t="e">
        <f t="shared" ref="BD16:BD18" ca="1" si="54">AW16/BC16</f>
        <v>#NAME?</v>
      </c>
      <c r="BE16" s="20" t="e">
        <f ca="1">[1]!CALC_DMG(S16*$AK$1,AZ16,$AI$2,1)*$AK$2+[1]!CALC_DMG(S16*$AL$1,AZ16,$AI$2,1)*$AL$2+[1]!CALC_DMG(S16*$AM$1,AZ16,$AI$2,1)*$AM$2</f>
        <v>#NAME?</v>
      </c>
      <c r="BF16" s="75" t="e">
        <f t="shared" ref="BF16:BF18" ca="1" si="55">AW16/BE16</f>
        <v>#NAME?</v>
      </c>
    </row>
    <row r="17" spans="2:58" ht="24" customHeight="1" x14ac:dyDescent="0.15">
      <c r="B17" s="8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37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38"/>
        <v>670.72499999999991</v>
      </c>
      <c r="S17" s="24">
        <v>540</v>
      </c>
      <c r="T17" s="25">
        <f>N17*(1+(O17*0.02))</f>
        <v>235.20000000000002</v>
      </c>
      <c r="U17" s="25">
        <f t="shared" si="39"/>
        <v>195.10000000000002</v>
      </c>
      <c r="V17" s="25">
        <v>155</v>
      </c>
      <c r="W17" s="12" t="e">
        <f t="shared" ca="1" si="40"/>
        <v>#NAME?</v>
      </c>
      <c r="X17" s="79" t="e">
        <f t="shared" ca="1" si="41"/>
        <v>#NAME?</v>
      </c>
      <c r="Y17" s="12" t="e">
        <f ca="1">[1]!CALC_DMG(AV17,T17,$D$2, P17)</f>
        <v>#NAME?</v>
      </c>
      <c r="Z17" s="79" t="e">
        <f t="shared" ca="1" si="42"/>
        <v>#NAME?</v>
      </c>
      <c r="AA17" s="15" t="e">
        <f t="shared" ca="1" si="43"/>
        <v>#NAME?</v>
      </c>
      <c r="AB17" s="78" t="e">
        <f t="shared" ca="1" si="44"/>
        <v>#NAME?</v>
      </c>
      <c r="AC17" s="15" t="e">
        <f ca="1">[1]!CALC_DMG(AV17,U17,$D$2,P17)</f>
        <v>#NAME?</v>
      </c>
      <c r="AD17" s="78" t="e">
        <f t="shared" ca="1" si="45"/>
        <v>#NAME?</v>
      </c>
      <c r="AE17" s="22" t="e">
        <f t="shared" ca="1" si="46"/>
        <v>#NAME?</v>
      </c>
      <c r="AF17" s="77" t="e">
        <f t="shared" ca="1" si="9"/>
        <v>#NAME?</v>
      </c>
      <c r="AG17" s="22" t="e">
        <f ca="1">[1]!CALC_DMG(AV17,V17,$D$2,P17)</f>
        <v>#NAME?</v>
      </c>
      <c r="AH17" s="77" t="e">
        <f t="shared" ca="1" si="47"/>
        <v>#NAME?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48"/>
        <v>110</v>
      </c>
      <c r="AO17" s="20" t="e">
        <f ca="1">[1]!CALC_DMG(Q17*$AK$1,AN17,$AI$2,1)*$AK$2+[1]!CALC_DMG(Q17*$AL$1,AN17,$AI$2,1)*$AL$2+[1]!CALC_DMG(Q17*$AM$1,AN17,$AI$2,1)*$AM$2</f>
        <v>#NAME?</v>
      </c>
      <c r="AP17" s="75" t="e">
        <f ca="1">AK17/AO17</f>
        <v>#NAME?</v>
      </c>
      <c r="AQ17" s="20" t="e">
        <f ca="1">[1]!CALC_DMG(R17*$AK$1,AN17,$AI$2,1)*$AK$2+[1]!CALC_DMG(R17*$AL$1,AN17,$AI$2,1)*$AL$2+[1]!CALC_DMG(R17*$AM$1,AN17,$AI$2,1)*$AM$2</f>
        <v>#NAME?</v>
      </c>
      <c r="AR17" s="75" t="e">
        <f ca="1">AK17/AQ17</f>
        <v>#NAME?</v>
      </c>
      <c r="AS17" s="20" t="e">
        <f ca="1">CALC_DMG(S17*$AK$1,AN17,$AI$2,1)*$AK$2+CALC_DMG(S17*$AL$1,AN17,$AI$2,1)*$AL$2+CALC_DMG(S17*$AM$1,AN17,$AI$2,1)*$AM$2</f>
        <v>#NAME?</v>
      </c>
      <c r="AT17" s="75" t="e">
        <f ca="1">AK17/AS17</f>
        <v>#NAME?</v>
      </c>
      <c r="AV17" s="12">
        <f t="shared" si="49"/>
        <v>552</v>
      </c>
      <c r="AW17" s="15">
        <f t="shared" si="50"/>
        <v>4800</v>
      </c>
      <c r="AX17" s="16">
        <f t="shared" si="51"/>
        <v>66</v>
      </c>
      <c r="AY17" s="17">
        <v>0</v>
      </c>
      <c r="AZ17" s="17">
        <f t="shared" si="52"/>
        <v>66</v>
      </c>
      <c r="BA17" s="20" t="e">
        <f ca="1">[1]!CALC_DMG(Q17*$AK$1,AZ17,$AI$2,1)*$AK$2+[1]!CALC_DMG(Q17*$AL$1,AZ17,$AI$2,1)*$AL$2+[1]!CALC_DMG(Q17*$AM$1,AZ17,$AI$2,1)*$AM$2</f>
        <v>#NAME?</v>
      </c>
      <c r="BB17" s="75" t="e">
        <f t="shared" ca="1" si="53"/>
        <v>#NAME?</v>
      </c>
      <c r="BC17" s="20" t="e">
        <f ca="1">[1]!CALC_DMG(R17*$AK$1,AZ17,$AI$2,1)*$AK$2+[1]!CALC_DMG(R17*$AL$1,AZ17,$AI$2,1)*$AL$2+[1]!CALC_DMG(R17*$AM$1,AZ17,$AI$2,1)*$AM$2</f>
        <v>#NAME?</v>
      </c>
      <c r="BD17" s="75" t="e">
        <f t="shared" ca="1" si="54"/>
        <v>#NAME?</v>
      </c>
      <c r="BE17" s="20" t="e">
        <f ca="1">[1]!CALC_DMG(S17*$AK$1,AZ17,$AI$2,1)*$AK$2+[1]!CALC_DMG(S17*$AL$1,AZ17,$AI$2,1)*$AL$2+[1]!CALC_DMG(S17*$AM$1,AZ17,$AI$2,1)*$AM$2</f>
        <v>#NAME?</v>
      </c>
      <c r="BF17" s="75" t="e">
        <f t="shared" ca="1" si="55"/>
        <v>#NAME?</v>
      </c>
    </row>
    <row r="18" spans="2:58" ht="24" customHeight="1" x14ac:dyDescent="0.15">
      <c r="B18" s="8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37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38"/>
        <v>957.7600000000001</v>
      </c>
      <c r="S18" s="24">
        <v>800</v>
      </c>
      <c r="T18" s="25">
        <f>N18*(1+(O18*0.02))</f>
        <v>312.79999999999995</v>
      </c>
      <c r="U18" s="25">
        <f t="shared" si="39"/>
        <v>271.39999999999998</v>
      </c>
      <c r="V18" s="25">
        <v>230</v>
      </c>
      <c r="W18" s="12" t="e">
        <f t="shared" ca="1" si="40"/>
        <v>#NAME?</v>
      </c>
      <c r="X18" s="79" t="e">
        <f t="shared" ca="1" si="41"/>
        <v>#NAME?</v>
      </c>
      <c r="Y18" s="12" t="e">
        <f ca="1">[1]!CALC_DMG(AV18,T18,$D$2, P18)</f>
        <v>#NAME?</v>
      </c>
      <c r="Z18" s="79" t="e">
        <f t="shared" ca="1" si="42"/>
        <v>#NAME?</v>
      </c>
      <c r="AA18" s="15" t="e">
        <f t="shared" ca="1" si="43"/>
        <v>#NAME?</v>
      </c>
      <c r="AB18" s="78" t="e">
        <f t="shared" ca="1" si="44"/>
        <v>#NAME?</v>
      </c>
      <c r="AC18" s="15" t="e">
        <f ca="1">[1]!CALC_DMG(AV18,U18,$D$2,P18)</f>
        <v>#NAME?</v>
      </c>
      <c r="AD18" s="78" t="e">
        <f t="shared" ca="1" si="45"/>
        <v>#NAME?</v>
      </c>
      <c r="AE18" s="22" t="e">
        <f t="shared" ca="1" si="46"/>
        <v>#NAME?</v>
      </c>
      <c r="AF18" s="77" t="e">
        <f t="shared" ca="1" si="9"/>
        <v>#NAME?</v>
      </c>
      <c r="AG18" s="22" t="e">
        <f ca="1">[1]!CALC_DMG(AV18,V18,$D$2,P18)</f>
        <v>#NAME?</v>
      </c>
      <c r="AH18" s="77" t="e">
        <f t="shared" ca="1" si="47"/>
        <v>#NAME?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48"/>
        <v>145</v>
      </c>
      <c r="AO18" s="20" t="e">
        <f ca="1">CALC_DMG(Q18*$AK$1,AN18,$AI$2,1)*$AK$2+CALC_DMG(Q18*$AL$1,AN18,$AI$2,1)*$AL$2+CALC_DMG(Q18*$AM$1,AN18,$AI$2,1)*$AM$2</f>
        <v>#NAME?</v>
      </c>
      <c r="AP18" s="75" t="e">
        <f ca="1">AK18/AO18</f>
        <v>#NAME?</v>
      </c>
      <c r="AQ18" s="20" t="e">
        <f ca="1">CALC_DMG(R18*$AK$1,AN18,$AI$2,1)*$AK$2+CALC_DMG(R18*$AL$1,AN18,$AI$2,1)*$AL$2+CALC_DMG(R18*$AM$1,AN18,$AI$2,1)*$AM$2</f>
        <v>#NAME?</v>
      </c>
      <c r="AR18" s="75" t="e">
        <f ca="1">AK18/AQ18</f>
        <v>#NAME?</v>
      </c>
      <c r="AS18" s="20" t="e">
        <f ca="1">CALC_DMG(S18*$AK$1,AN18,$AI$2,1)*$AK$2+CALC_DMG(S18*$AL$1,AN18,$AI$2,1)*$AL$2+CALC_DMG(S18*$AM$1,AN18,$AI$2,1)*$AM$2</f>
        <v>#NAME?</v>
      </c>
      <c r="AT18" s="75" t="e">
        <f ca="1">AK18/AS18</f>
        <v>#NAME?</v>
      </c>
      <c r="AV18" s="12">
        <f t="shared" si="49"/>
        <v>840</v>
      </c>
      <c r="AW18" s="15">
        <f t="shared" si="50"/>
        <v>7800</v>
      </c>
      <c r="AX18" s="16">
        <f t="shared" si="51"/>
        <v>87</v>
      </c>
      <c r="AY18" s="17">
        <v>0</v>
      </c>
      <c r="AZ18" s="17">
        <f t="shared" si="52"/>
        <v>87</v>
      </c>
      <c r="BA18" s="20" t="e">
        <f ca="1">[1]!CALC_DMG(Q18*$AK$1,AZ18,$AI$2,1)*$AK$2+[1]!CALC_DMG(Q18*$AL$1,AZ18,$AI$2,1)*$AL$2+[1]!CALC_DMG(Q18*$AM$1,AZ18,$AI$2,1)*$AM$2</f>
        <v>#NAME?</v>
      </c>
      <c r="BB18" s="75" t="e">
        <f t="shared" ca="1" si="53"/>
        <v>#NAME?</v>
      </c>
      <c r="BC18" s="20" t="e">
        <f ca="1">[1]!CALC_DMG(R18*$AK$1,AZ18,$AI$2,1)*$AK$2+[1]!CALC_DMG(R18*$AL$1,AZ18,$AI$2,1)*$AL$2+[1]!CALC_DMG(R18*$AM$1,AZ18,$AI$2,1)*$AM$2</f>
        <v>#NAME?</v>
      </c>
      <c r="BD18" s="75" t="e">
        <f t="shared" ca="1" si="54"/>
        <v>#NAME?</v>
      </c>
      <c r="BE18" s="20" t="e">
        <f ca="1">[1]!CALC_DMG(S18*$AK$1,AZ18,$AI$2,1)*$AK$2+[1]!CALC_DMG(S18*$AL$1,AZ18,$AI$2,1)*$AL$2+[1]!CALC_DMG(S18*$AM$1,AZ18,$AI$2,1)*$AM$2</f>
        <v>#NAME?</v>
      </c>
      <c r="BF18" s="75" t="e">
        <f t="shared" ca="1" si="55"/>
        <v>#NAME?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56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57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58">AVERAGE(T20,V20)</f>
        <v>369.20000000000005</v>
      </c>
      <c r="V20" s="25">
        <v>310</v>
      </c>
      <c r="W20" s="12" t="e">
        <f t="shared" ref="W20:W21" ca="1" si="59">CALC_DMG(AJ20,T20,$D$2, P20)</f>
        <v>#NAME?</v>
      </c>
      <c r="X20" s="79" t="e">
        <f t="shared" ref="X20:X21" ca="1" si="60">K20/W20</f>
        <v>#NAME?</v>
      </c>
      <c r="Y20" s="12" t="e">
        <f ca="1">[1]!CALC_DMG(AV20,T20,$D$2, P20)</f>
        <v>#NAME?</v>
      </c>
      <c r="Z20" s="79" t="e">
        <f t="shared" ref="Z20:Z21" ca="1" si="61">K20/Y20</f>
        <v>#NAME?</v>
      </c>
      <c r="AA20" s="15" t="e">
        <f t="shared" ref="AA20:AA21" ca="1" si="62">CALC_DMG(AJ20,U20,$D$2,P20)</f>
        <v>#NAME?</v>
      </c>
      <c r="AB20" s="78" t="e">
        <f t="shared" ref="AB20:AB21" ca="1" si="63">L20/AA20</f>
        <v>#NAME?</v>
      </c>
      <c r="AC20" s="15" t="e">
        <f ca="1">[1]!CALC_DMG(AV20,U20,$D$2,P20)</f>
        <v>#NAME?</v>
      </c>
      <c r="AD20" s="78" t="e">
        <f t="shared" ref="AD20:AD21" ca="1" si="64">L20/AC20</f>
        <v>#NAME?</v>
      </c>
      <c r="AE20" s="22" t="e">
        <f t="shared" ref="AE20:AE21" ca="1" si="65">CALC_DMG(AJ20,V20,$D$2,P20)</f>
        <v>#NAME?</v>
      </c>
      <c r="AF20" s="77" t="e">
        <f t="shared" ca="1" si="9"/>
        <v>#NAME?</v>
      </c>
      <c r="AG20" s="22" t="e">
        <f ca="1">[1]!CALC_DMG(AV20,V20,$D$2,P20)</f>
        <v>#NAME?</v>
      </c>
      <c r="AH20" s="77" t="e">
        <f t="shared" ref="AH20:AH21" ca="1" si="66">M20/AG20</f>
        <v>#NAME?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67">AL20*(1+(0.02*AM20))</f>
        <v>180</v>
      </c>
      <c r="AO20" s="20" t="e">
        <f ca="1">CALC_DMG(Q20*$AK$1,AN20,$AI$2,1)*$AK$2+CALC_DMG(Q20*$AL$1,AN20,$AI$2,1)*$AL$2+CALC_DMG(Q20*$AM$1,AN20,$AI$2,1)*$AM$2</f>
        <v>#NAME?</v>
      </c>
      <c r="AP20" s="75" t="e">
        <f ca="1">AK20/AO20</f>
        <v>#NAME?</v>
      </c>
      <c r="AQ20" s="20" t="e">
        <f ca="1">CALC_DMG(R20*$AK$1,AN20,$AI$2,1)*$AK$2+CALC_DMG(R20*$AL$1,AN20,$AI$2,1)*$AL$2+CALC_DMG(R20*$AM$1,AN20,$AI$2,1)*$AM$2</f>
        <v>#NAME?</v>
      </c>
      <c r="AR20" s="75" t="e">
        <f ca="1">AK20/AQ20</f>
        <v>#NAME?</v>
      </c>
      <c r="AS20" s="20" t="e">
        <f ca="1">CALC_DMG(S20*$AK$1,AN20,$AI$2,1)*$AK$2+CALC_DMG(S20*$AL$1,AN20,$AI$2,1)*$AL$2+CALC_DMG(S20*$AM$1,AN20,$AI$2,1)*$AM$2</f>
        <v>#NAME?</v>
      </c>
      <c r="AT20" s="75" t="e">
        <f ca="1">AK20/AS20</f>
        <v>#NAME?</v>
      </c>
      <c r="AV20" s="12">
        <f t="shared" ref="AV20:AV21" si="68">AJ20*$AV$2</f>
        <v>1134</v>
      </c>
      <c r="AW20" s="15">
        <f t="shared" ref="AW20:AW21" si="69">AK20*$AW$2</f>
        <v>11400</v>
      </c>
      <c r="AX20" s="16">
        <f t="shared" ref="AX20:AX21" si="70">AL20*$AX$2</f>
        <v>108</v>
      </c>
      <c r="AY20" s="17">
        <v>0</v>
      </c>
      <c r="AZ20" s="17">
        <f t="shared" ref="AZ20:AZ21" si="71">AX20*(1+(0.02*AY20))</f>
        <v>108</v>
      </c>
      <c r="BA20" s="20" t="e">
        <f ca="1">[1]!CALC_DMG(Q20*$AK$1,AZ20,$AI$2,1)*$AK$2+[1]!CALC_DMG(Q20*$AL$1,AZ20,$AI$2,1)*$AL$2+[1]!CALC_DMG(Q20*$AM$1,AZ20,$AI$2,1)*$AM$2</f>
        <v>#NAME?</v>
      </c>
      <c r="BB20" s="75" t="e">
        <f t="shared" ref="BB20:BB21" ca="1" si="72">AW20/BA20</f>
        <v>#NAME?</v>
      </c>
      <c r="BC20" s="20" t="e">
        <f ca="1">[1]!CALC_DMG(R20*$AK$1,AZ20,$AI$2,1)*$AK$2+[1]!CALC_DMG(R20*$AL$1,AZ20,$AI$2,1)*$AL$2+[1]!CALC_DMG(R20*$AM$1,AZ20,$AI$2,1)*$AM$2</f>
        <v>#NAME?</v>
      </c>
      <c r="BD20" s="75" t="e">
        <f t="shared" ref="BD20:BD21" ca="1" si="73">AW20/BC20</f>
        <v>#NAME?</v>
      </c>
      <c r="BE20" s="20" t="e">
        <f ca="1">[1]!CALC_DMG(S20*$AK$1,AZ20,$AI$2,1)*$AK$2+[1]!CALC_DMG(S20*$AL$1,AZ20,$AI$2,1)*$AL$2+[1]!CALC_DMG(S20*$AM$1,AZ20,$AI$2,1)*$AM$2</f>
        <v>#NAME?</v>
      </c>
      <c r="BF20" s="75" t="e">
        <f t="shared" ref="BF20:BF21" ca="1" si="74">AW20/BE20</f>
        <v>#NAME?</v>
      </c>
    </row>
    <row r="21" spans="2:58" ht="24" customHeight="1" x14ac:dyDescent="0.15">
      <c r="B21" s="8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56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57"/>
        <v>2368.16</v>
      </c>
      <c r="S21" s="24">
        <v>1900</v>
      </c>
      <c r="T21" s="25">
        <f>N21*(1+(O21*0.02))</f>
        <v>570.00000000000011</v>
      </c>
      <c r="U21" s="25">
        <f t="shared" si="58"/>
        <v>495.00000000000006</v>
      </c>
      <c r="V21" s="25">
        <v>420</v>
      </c>
      <c r="W21" s="12" t="e">
        <f t="shared" ca="1" si="59"/>
        <v>#NAME?</v>
      </c>
      <c r="X21" s="79" t="e">
        <f t="shared" ca="1" si="60"/>
        <v>#NAME?</v>
      </c>
      <c r="Y21" s="12" t="e">
        <f ca="1">[1]!CALC_DMG(AV21,T21,$D$2, P21)</f>
        <v>#NAME?</v>
      </c>
      <c r="Z21" s="79" t="e">
        <f t="shared" ca="1" si="61"/>
        <v>#NAME?</v>
      </c>
      <c r="AA21" s="15" t="e">
        <f t="shared" ca="1" si="62"/>
        <v>#NAME?</v>
      </c>
      <c r="AB21" s="78" t="e">
        <f t="shared" ca="1" si="63"/>
        <v>#NAME?</v>
      </c>
      <c r="AC21" s="15" t="e">
        <f ca="1">[1]!CALC_DMG(AV21,U21,$D$2,P21)</f>
        <v>#NAME?</v>
      </c>
      <c r="AD21" s="78" t="e">
        <f t="shared" ca="1" si="64"/>
        <v>#NAME?</v>
      </c>
      <c r="AE21" s="22" t="e">
        <f t="shared" ca="1" si="65"/>
        <v>#NAME?</v>
      </c>
      <c r="AF21" s="77" t="e">
        <f t="shared" ca="1" si="9"/>
        <v>#NAME?</v>
      </c>
      <c r="AG21" s="22" t="e">
        <f ca="1">[1]!CALC_DMG(AV21,V21,$D$2,P21)</f>
        <v>#NAME?</v>
      </c>
      <c r="AH21" s="77" t="e">
        <f t="shared" ca="1" si="66"/>
        <v>#NAME?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67"/>
        <v>220</v>
      </c>
      <c r="AO21" s="20" t="e">
        <f ca="1">CALC_DMG(Q21*$AK$1,AN21,$AI$2,1)*$AK$2+CALC_DMG(Q21*$AL$1,AN21,$AI$2,1)*$AL$2+CALC_DMG(Q21*$AM$1,AN21,$AI$2,1)*$AM$2</f>
        <v>#NAME?</v>
      </c>
      <c r="AP21" s="75" t="e">
        <f ca="1">AK21/AO21</f>
        <v>#NAME?</v>
      </c>
      <c r="AQ21" s="20" t="e">
        <f ca="1">CALC_DMG(R21*$AK$1,AN21,$AI$2,1)*$AK$2+CALC_DMG(R21*$AL$1,AN21,$AI$2,1)*$AL$2+CALC_DMG(R21*$AM$1,AN21,$AI$2,1)*$AM$2</f>
        <v>#NAME?</v>
      </c>
      <c r="AR21" s="75" t="e">
        <f ca="1">AK21/AQ21</f>
        <v>#NAME?</v>
      </c>
      <c r="AS21" s="20" t="e">
        <f ca="1">CALC_DMG(S21*$AK$1,AN21,$AI$2,1)*$AK$2+CALC_DMG(S21*$AL$1,AN21,$AI$2,1)*$AL$2+CALC_DMG(S21*$AM$1,AN21,$AI$2,1)*$AM$2</f>
        <v>#NAME?</v>
      </c>
      <c r="AT21" s="75" t="e">
        <f ca="1">AK21/AS21</f>
        <v>#NAME?</v>
      </c>
      <c r="AV21" s="12">
        <f t="shared" si="68"/>
        <v>1560</v>
      </c>
      <c r="AW21" s="15">
        <f t="shared" si="69"/>
        <v>22800</v>
      </c>
      <c r="AX21" s="16">
        <f t="shared" si="70"/>
        <v>132</v>
      </c>
      <c r="AY21" s="17">
        <v>0</v>
      </c>
      <c r="AZ21" s="17">
        <f t="shared" si="71"/>
        <v>132</v>
      </c>
      <c r="BA21" s="20" t="e">
        <f ca="1">[1]!CALC_DMG(Q21*$AK$1,AZ21,$AI$2,1)*$AK$2+[1]!CALC_DMG(Q21*$AL$1,AZ21,$AI$2,1)*$AL$2+[1]!CALC_DMG(Q21*$AM$1,AZ21,$AI$2,1)*$AM$2</f>
        <v>#NAME?</v>
      </c>
      <c r="BB21" s="75" t="e">
        <f t="shared" ca="1" si="72"/>
        <v>#NAME?</v>
      </c>
      <c r="BC21" s="20" t="e">
        <f ca="1">[1]!CALC_DMG(R21*$AK$1,AZ21,$AI$2,1)*$AK$2+[1]!CALC_DMG(R21*$AL$1,AZ21,$AI$2,1)*$AL$2+[1]!CALC_DMG(R21*$AM$1,AZ21,$AI$2,1)*$AM$2</f>
        <v>#NAME?</v>
      </c>
      <c r="BD21" s="75" t="e">
        <f t="shared" ca="1" si="73"/>
        <v>#NAME?</v>
      </c>
      <c r="BE21" s="20" t="e">
        <f ca="1">[1]!CALC_DMG(S21*$AK$1,AZ21,$AI$2,1)*$AK$2+[1]!CALC_DMG(S21*$AL$1,AZ21,$AI$2,1)*$AL$2+[1]!CALC_DMG(S21*$AM$1,AZ21,$AI$2,1)*$AM$2</f>
        <v>#NAME?</v>
      </c>
      <c r="BF21" s="75" t="e">
        <f t="shared" ca="1" si="74"/>
        <v>#NAME?</v>
      </c>
    </row>
    <row r="23" spans="2:58" ht="24" customHeight="1" x14ac:dyDescent="0.15">
      <c r="AU23" s="7" t="s">
        <v>234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235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236</v>
      </c>
      <c r="AV25" s="8">
        <v>0.9</v>
      </c>
      <c r="AW25" s="8">
        <v>0.9</v>
      </c>
      <c r="AX25" s="8">
        <v>1.75</v>
      </c>
    </row>
  </sheetData>
  <mergeCells count="12">
    <mergeCell ref="B13:B14"/>
    <mergeCell ref="B16:B18"/>
    <mergeCell ref="B20:B21"/>
    <mergeCell ref="D3:T3"/>
    <mergeCell ref="W3:Z3"/>
    <mergeCell ref="AJ3:AT4"/>
    <mergeCell ref="AV3:BF4"/>
    <mergeCell ref="B6:B7"/>
    <mergeCell ref="B8:B9"/>
    <mergeCell ref="B10:B12"/>
    <mergeCell ref="AE3:AH3"/>
    <mergeCell ref="AA3:AD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7" t="s">
        <v>46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21"/>
      <c r="R3" s="21"/>
      <c r="S3" s="21"/>
      <c r="T3" s="21"/>
      <c r="V3" s="87" t="s">
        <v>52</v>
      </c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5" t="s">
        <v>57</v>
      </c>
      <c r="W4" s="85"/>
      <c r="X4" s="85"/>
      <c r="Y4" s="85"/>
      <c r="Z4" s="85"/>
      <c r="AA4" s="85"/>
      <c r="AB4" s="21"/>
      <c r="AC4" s="21"/>
      <c r="AD4" s="85" t="s">
        <v>59</v>
      </c>
      <c r="AE4" s="85"/>
      <c r="AF4" s="85"/>
      <c r="AG4" s="85"/>
      <c r="AH4" s="21"/>
      <c r="AI4" s="21"/>
      <c r="AJ4" s="21"/>
      <c r="AK4" s="21"/>
      <c r="AL4" s="85" t="s">
        <v>60</v>
      </c>
      <c r="AM4" s="85"/>
      <c r="AN4" s="85"/>
      <c r="AO4" s="85"/>
      <c r="AP4" s="85"/>
      <c r="AQ4" s="85"/>
      <c r="AR4" s="21"/>
      <c r="AS4" s="21"/>
      <c r="AT4" s="85" t="s">
        <v>61</v>
      </c>
      <c r="AU4" s="85"/>
      <c r="AV4" s="85"/>
      <c r="AW4" s="85"/>
      <c r="AX4" s="85"/>
      <c r="AY4" s="85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8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89"/>
    </row>
    <row r="12" spans="2:52" ht="24" customHeight="1" x14ac:dyDescent="0.15">
      <c r="B12" s="8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D3:P3"/>
    <mergeCell ref="V3:AY3"/>
    <mergeCell ref="AT4:AY4"/>
    <mergeCell ref="AL4:AQ4"/>
    <mergeCell ref="AD4:AG4"/>
    <mergeCell ref="V4:AA4"/>
    <mergeCell ref="B20:B21"/>
    <mergeCell ref="B6:B7"/>
    <mergeCell ref="B8:B9"/>
    <mergeCell ref="B10:B12"/>
    <mergeCell ref="B13:B14"/>
    <mergeCell ref="B16:B18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tabSelected="1" zoomScale="115" zoomScaleNormal="115" workbookViewId="0">
      <pane xSplit="1" topLeftCell="B1" activePane="topRight" state="frozen"/>
      <selection pane="topRight" activeCell="L14" sqref="L14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105" t="s">
        <v>96</v>
      </c>
      <c r="F1" s="105"/>
      <c r="G1" s="105"/>
      <c r="H1" s="105"/>
      <c r="I1" s="37" t="s">
        <v>157</v>
      </c>
      <c r="K1" s="106" t="s">
        <v>97</v>
      </c>
      <c r="L1" s="106"/>
      <c r="M1" s="106"/>
      <c r="N1" s="106"/>
      <c r="O1" s="38" t="s">
        <v>157</v>
      </c>
      <c r="Q1" s="107" t="s">
        <v>98</v>
      </c>
      <c r="R1" s="107"/>
      <c r="S1" s="107"/>
      <c r="T1" s="107"/>
      <c r="U1" s="39" t="s">
        <v>157</v>
      </c>
    </row>
    <row r="2" spans="1:21" ht="18" customHeight="1" x14ac:dyDescent="0.15">
      <c r="A2" s="40" t="s">
        <v>156</v>
      </c>
      <c r="B2" s="92" t="s">
        <v>155</v>
      </c>
      <c r="C2" s="92"/>
      <c r="D2" s="92"/>
      <c r="E2" s="104" t="s">
        <v>186</v>
      </c>
      <c r="F2" s="104"/>
      <c r="G2" s="104" t="s">
        <v>187</v>
      </c>
      <c r="H2" s="104"/>
      <c r="K2" s="104" t="s">
        <v>186</v>
      </c>
      <c r="L2" s="104"/>
      <c r="M2" s="104" t="s">
        <v>187</v>
      </c>
      <c r="N2" s="104"/>
      <c r="Q2" s="104" t="s">
        <v>186</v>
      </c>
      <c r="R2" s="104"/>
      <c r="S2" s="104" t="s">
        <v>187</v>
      </c>
      <c r="T2" s="104"/>
    </row>
    <row r="3" spans="1:21" ht="18" customHeight="1" x14ac:dyDescent="0.15">
      <c r="A3" s="41">
        <v>0.1</v>
      </c>
      <c r="B3" s="3" t="s">
        <v>101</v>
      </c>
      <c r="C3" s="3" t="s">
        <v>120</v>
      </c>
      <c r="D3" s="1"/>
      <c r="E3" s="93"/>
      <c r="F3" s="94"/>
      <c r="G3" s="94"/>
      <c r="H3" s="95"/>
      <c r="I3" s="102" t="s">
        <v>127</v>
      </c>
      <c r="K3" s="93"/>
      <c r="L3" s="94"/>
      <c r="M3" s="94"/>
      <c r="N3" s="95"/>
      <c r="O3" s="45" t="s">
        <v>127</v>
      </c>
      <c r="Q3" s="93"/>
      <c r="R3" s="94"/>
      <c r="S3" s="94"/>
      <c r="T3" s="95"/>
      <c r="U3" s="115" t="s">
        <v>154</v>
      </c>
    </row>
    <row r="4" spans="1:21" ht="18" customHeight="1" x14ac:dyDescent="0.15">
      <c r="A4" s="42">
        <v>1.1000000000000001</v>
      </c>
      <c r="B4" s="3" t="s">
        <v>102</v>
      </c>
      <c r="C4" s="1"/>
      <c r="D4" s="1"/>
      <c r="E4" s="96"/>
      <c r="F4" s="97"/>
      <c r="G4" s="97"/>
      <c r="H4" s="98"/>
      <c r="I4" s="103"/>
      <c r="K4" s="49" t="s">
        <v>131</v>
      </c>
      <c r="L4" s="49"/>
      <c r="M4" s="49" t="s">
        <v>132</v>
      </c>
      <c r="N4" s="47"/>
      <c r="O4" s="110">
        <v>0</v>
      </c>
      <c r="Q4" s="99"/>
      <c r="R4" s="100"/>
      <c r="S4" s="100"/>
      <c r="T4" s="101"/>
      <c r="U4" s="116"/>
    </row>
    <row r="5" spans="1:21" ht="18" customHeight="1" x14ac:dyDescent="0.15">
      <c r="A5" s="42">
        <v>1.2</v>
      </c>
      <c r="B5" s="3" t="s">
        <v>160</v>
      </c>
      <c r="C5" s="3" t="s">
        <v>103</v>
      </c>
      <c r="D5" s="3" t="s">
        <v>104</v>
      </c>
      <c r="E5" s="46"/>
      <c r="F5" s="46" t="s">
        <v>128</v>
      </c>
      <c r="G5" s="46" t="s">
        <v>129</v>
      </c>
      <c r="H5" s="48" t="s">
        <v>130</v>
      </c>
      <c r="I5" s="108">
        <v>0</v>
      </c>
      <c r="K5" s="48" t="s">
        <v>184</v>
      </c>
      <c r="L5" s="48"/>
      <c r="M5" s="48" t="s">
        <v>185</v>
      </c>
      <c r="N5" s="47"/>
      <c r="O5" s="110"/>
      <c r="Q5" s="99"/>
      <c r="R5" s="100"/>
      <c r="S5" s="100"/>
      <c r="T5" s="101"/>
      <c r="U5" s="116"/>
    </row>
    <row r="6" spans="1:21" ht="18" customHeight="1" x14ac:dyDescent="0.15">
      <c r="A6" s="42">
        <v>1.3</v>
      </c>
      <c r="B6" s="3" t="s">
        <v>105</v>
      </c>
      <c r="C6" s="3"/>
      <c r="D6" s="1"/>
      <c r="E6" s="48"/>
      <c r="F6" s="47"/>
      <c r="G6" s="48" t="s">
        <v>158</v>
      </c>
      <c r="H6" s="47"/>
      <c r="I6" s="109"/>
      <c r="K6" s="48" t="s">
        <v>161</v>
      </c>
      <c r="L6" s="48"/>
      <c r="M6" s="48"/>
      <c r="N6" s="47"/>
      <c r="O6" s="110"/>
      <c r="Q6" s="96"/>
      <c r="R6" s="97"/>
      <c r="S6" s="97"/>
      <c r="T6" s="98"/>
      <c r="U6" s="116"/>
    </row>
    <row r="7" spans="1:21" ht="18" customHeight="1" x14ac:dyDescent="0.15">
      <c r="A7" s="42">
        <v>1.4</v>
      </c>
      <c r="B7" s="3" t="s">
        <v>106</v>
      </c>
      <c r="C7" s="3" t="s">
        <v>159</v>
      </c>
      <c r="D7" s="1"/>
      <c r="E7" s="51"/>
      <c r="F7" s="52"/>
      <c r="G7" s="51"/>
      <c r="H7" s="51" t="s">
        <v>237</v>
      </c>
      <c r="I7" s="121">
        <v>1</v>
      </c>
      <c r="K7" s="53" t="s">
        <v>239</v>
      </c>
      <c r="L7" s="53" t="s">
        <v>133</v>
      </c>
      <c r="M7" s="53" t="s">
        <v>241</v>
      </c>
      <c r="N7" s="53" t="s">
        <v>238</v>
      </c>
      <c r="O7" s="120">
        <v>1</v>
      </c>
      <c r="Q7" s="54"/>
      <c r="R7" s="54"/>
      <c r="S7" s="54" t="s">
        <v>151</v>
      </c>
      <c r="T7" s="51" t="s">
        <v>165</v>
      </c>
      <c r="U7" s="81">
        <v>1</v>
      </c>
    </row>
    <row r="8" spans="1:21" ht="18" customHeight="1" x14ac:dyDescent="0.15">
      <c r="A8" s="43">
        <v>2.1</v>
      </c>
      <c r="B8" s="3" t="s">
        <v>110</v>
      </c>
      <c r="C8" s="3" t="s">
        <v>107</v>
      </c>
      <c r="D8" s="3" t="s">
        <v>108</v>
      </c>
      <c r="E8" s="52"/>
      <c r="F8" s="52"/>
      <c r="G8" s="52"/>
      <c r="H8" s="52"/>
      <c r="I8" s="122"/>
      <c r="K8" s="53"/>
      <c r="L8" s="53" t="s">
        <v>135</v>
      </c>
      <c r="M8" s="53" t="s">
        <v>152</v>
      </c>
      <c r="N8" s="51"/>
      <c r="O8" s="120"/>
      <c r="Q8" s="33" t="s">
        <v>163</v>
      </c>
      <c r="R8" s="33"/>
      <c r="S8" s="33" t="s">
        <v>164</v>
      </c>
      <c r="T8" s="33" t="s">
        <v>188</v>
      </c>
      <c r="U8" s="117">
        <v>2</v>
      </c>
    </row>
    <row r="9" spans="1:21" ht="18" customHeight="1" x14ac:dyDescent="0.15">
      <c r="A9" s="43">
        <v>2.2000000000000002</v>
      </c>
      <c r="B9" s="3" t="s">
        <v>109</v>
      </c>
      <c r="C9" s="3" t="s">
        <v>111</v>
      </c>
      <c r="D9" s="1"/>
      <c r="E9" s="50" t="s">
        <v>167</v>
      </c>
      <c r="F9" s="50" t="s">
        <v>166</v>
      </c>
      <c r="G9" s="50" t="s">
        <v>136</v>
      </c>
      <c r="H9" s="50" t="s">
        <v>137</v>
      </c>
      <c r="I9" s="122"/>
      <c r="K9" s="51" t="s">
        <v>168</v>
      </c>
      <c r="L9" s="51"/>
      <c r="M9" s="51" t="s">
        <v>170</v>
      </c>
      <c r="N9" s="51" t="s">
        <v>171</v>
      </c>
      <c r="O9" s="120"/>
      <c r="Q9" s="33" t="s">
        <v>172</v>
      </c>
      <c r="R9" s="33"/>
      <c r="S9" s="33" t="s">
        <v>173</v>
      </c>
      <c r="T9" s="83" t="s">
        <v>162</v>
      </c>
      <c r="U9" s="118"/>
    </row>
    <row r="10" spans="1:21" ht="18" customHeight="1" x14ac:dyDescent="0.15">
      <c r="A10" s="43">
        <v>2.2999999999999998</v>
      </c>
      <c r="B10" s="3" t="s">
        <v>112</v>
      </c>
      <c r="C10" s="3"/>
      <c r="D10" s="1"/>
      <c r="E10" s="56" t="s">
        <v>240</v>
      </c>
      <c r="F10" s="56"/>
      <c r="G10" s="56"/>
      <c r="H10" s="56"/>
      <c r="I10" s="118">
        <v>2</v>
      </c>
      <c r="K10" s="57" t="s">
        <v>139</v>
      </c>
      <c r="L10" s="57"/>
      <c r="M10" s="57" t="s">
        <v>153</v>
      </c>
      <c r="N10" s="33" t="s">
        <v>138</v>
      </c>
      <c r="O10" s="117">
        <v>2</v>
      </c>
      <c r="Q10" s="33"/>
      <c r="R10" s="56"/>
      <c r="S10" s="56" t="s">
        <v>134</v>
      </c>
      <c r="T10" s="83" t="s">
        <v>169</v>
      </c>
      <c r="U10" s="119"/>
    </row>
    <row r="11" spans="1:21" ht="18" customHeight="1" x14ac:dyDescent="0.15">
      <c r="A11" s="65">
        <v>3.1</v>
      </c>
      <c r="B11" s="3" t="s">
        <v>113</v>
      </c>
      <c r="C11" s="3"/>
      <c r="D11" s="1"/>
      <c r="E11" s="55" t="s">
        <v>140</v>
      </c>
      <c r="F11" s="55" t="s">
        <v>141</v>
      </c>
      <c r="G11" s="55" t="s">
        <v>142</v>
      </c>
      <c r="H11" s="55" t="s">
        <v>143</v>
      </c>
      <c r="I11" s="118"/>
      <c r="K11" s="33"/>
      <c r="L11" s="56"/>
      <c r="M11" s="33" t="s">
        <v>175</v>
      </c>
      <c r="N11" s="56"/>
      <c r="O11" s="119"/>
      <c r="Q11" s="61" t="s">
        <v>174</v>
      </c>
      <c r="R11" s="61"/>
      <c r="S11" s="61" t="s">
        <v>176</v>
      </c>
      <c r="T11" s="59"/>
      <c r="U11" s="123">
        <v>3</v>
      </c>
    </row>
    <row r="12" spans="1:21" ht="18" customHeight="1" x14ac:dyDescent="0.15">
      <c r="A12" s="65">
        <v>3.2</v>
      </c>
      <c r="B12" s="3" t="s">
        <v>115</v>
      </c>
      <c r="C12" s="3"/>
      <c r="D12" s="1"/>
      <c r="E12" s="33"/>
      <c r="F12" s="56"/>
      <c r="G12" s="33" t="s">
        <v>177</v>
      </c>
      <c r="H12" s="56"/>
      <c r="I12" s="118"/>
      <c r="K12" s="60"/>
      <c r="L12" s="60"/>
      <c r="M12" s="60" t="s">
        <v>178</v>
      </c>
      <c r="N12" s="60"/>
      <c r="O12" s="124">
        <v>3</v>
      </c>
      <c r="Q12" s="69" t="s">
        <v>150</v>
      </c>
      <c r="R12" s="59"/>
      <c r="S12" s="59"/>
      <c r="T12" s="59"/>
      <c r="U12" s="123"/>
    </row>
    <row r="13" spans="1:21" ht="18" customHeight="1" x14ac:dyDescent="0.15">
      <c r="A13" s="65">
        <v>3.3</v>
      </c>
      <c r="B13" s="3" t="s">
        <v>116</v>
      </c>
      <c r="C13" s="3" t="s">
        <v>117</v>
      </c>
      <c r="D13" s="3" t="s">
        <v>121</v>
      </c>
      <c r="E13" s="59" t="s">
        <v>180</v>
      </c>
      <c r="F13" s="59"/>
      <c r="G13" s="59"/>
      <c r="H13" s="59"/>
      <c r="I13" s="126">
        <v>3</v>
      </c>
      <c r="K13" s="60" t="s">
        <v>144</v>
      </c>
      <c r="L13" s="60" t="s">
        <v>145</v>
      </c>
      <c r="M13" s="61" t="s">
        <v>179</v>
      </c>
      <c r="N13" s="61" t="s">
        <v>181</v>
      </c>
      <c r="O13" s="125"/>
      <c r="Q13" s="28" t="s">
        <v>182</v>
      </c>
      <c r="R13" s="28" t="s">
        <v>183</v>
      </c>
      <c r="S13" s="63"/>
      <c r="T13" s="63"/>
      <c r="U13" s="114">
        <v>4</v>
      </c>
    </row>
    <row r="14" spans="1:21" ht="18" customHeight="1" x14ac:dyDescent="0.15">
      <c r="A14" s="44">
        <v>4.0999999999999996</v>
      </c>
      <c r="B14" s="3" t="s">
        <v>114</v>
      </c>
      <c r="C14" s="3" t="s">
        <v>118</v>
      </c>
      <c r="D14" s="1"/>
      <c r="E14" s="66" t="s">
        <v>147</v>
      </c>
      <c r="F14" s="58"/>
      <c r="G14" s="61"/>
      <c r="H14" s="59"/>
      <c r="I14" s="126"/>
      <c r="K14" s="62"/>
      <c r="L14" s="62"/>
      <c r="M14" s="28" t="s">
        <v>146</v>
      </c>
      <c r="N14" s="63"/>
      <c r="O14" s="112">
        <v>4</v>
      </c>
      <c r="Q14" s="67" t="s">
        <v>150</v>
      </c>
      <c r="R14" s="63"/>
      <c r="S14" s="63"/>
      <c r="T14" s="63"/>
      <c r="U14" s="114"/>
    </row>
    <row r="15" spans="1:21" ht="18" customHeight="1" x14ac:dyDescent="0.15">
      <c r="A15" s="44">
        <v>4.2</v>
      </c>
      <c r="B15" s="3" t="s">
        <v>119</v>
      </c>
      <c r="C15" s="3"/>
      <c r="D15" s="1"/>
      <c r="E15" s="58" t="s">
        <v>148</v>
      </c>
      <c r="F15" s="59"/>
      <c r="G15" s="59"/>
      <c r="H15" s="59"/>
      <c r="I15" s="125"/>
      <c r="K15" s="62"/>
      <c r="L15" s="63"/>
      <c r="M15" s="28" t="s">
        <v>149</v>
      </c>
      <c r="N15" s="63"/>
      <c r="O15" s="113"/>
      <c r="Q15" s="68" t="s">
        <v>150</v>
      </c>
      <c r="R15" s="64"/>
      <c r="S15" s="64"/>
      <c r="T15" s="64"/>
      <c r="U15" s="44">
        <v>5</v>
      </c>
    </row>
    <row r="18" spans="2:8" ht="18" customHeight="1" x14ac:dyDescent="0.15">
      <c r="C18" s="111" t="s">
        <v>99</v>
      </c>
      <c r="D18" s="111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122</v>
      </c>
      <c r="C20" s="3">
        <v>1.2</v>
      </c>
      <c r="D20" s="3">
        <v>1.1000000000000001</v>
      </c>
      <c r="E20" s="7" t="s">
        <v>189</v>
      </c>
      <c r="F20" s="7" t="s">
        <v>190</v>
      </c>
      <c r="G20" s="7" t="s">
        <v>191</v>
      </c>
    </row>
    <row r="21" spans="2:8" ht="18" customHeight="1" x14ac:dyDescent="0.15">
      <c r="B21" s="3" t="s">
        <v>123</v>
      </c>
      <c r="C21" s="1">
        <v>2.1</v>
      </c>
      <c r="D21" s="1">
        <v>1.4</v>
      </c>
      <c r="E21" s="7" t="s">
        <v>193</v>
      </c>
      <c r="F21" s="7" t="s">
        <v>194</v>
      </c>
      <c r="G21" s="7" t="s">
        <v>195</v>
      </c>
      <c r="H21" s="7" t="s">
        <v>192</v>
      </c>
    </row>
    <row r="22" spans="2:8" ht="18" customHeight="1" x14ac:dyDescent="0.15">
      <c r="B22" s="3" t="s">
        <v>124</v>
      </c>
      <c r="C22" s="1">
        <v>3.1</v>
      </c>
      <c r="D22" s="1">
        <v>2.2999999999999998</v>
      </c>
      <c r="E22" s="7" t="s">
        <v>197</v>
      </c>
      <c r="F22" s="7" t="s">
        <v>198</v>
      </c>
      <c r="G22" s="7" t="s">
        <v>196</v>
      </c>
    </row>
    <row r="23" spans="2:8" ht="18" customHeight="1" x14ac:dyDescent="0.15">
      <c r="B23" s="3" t="s">
        <v>125</v>
      </c>
      <c r="C23" s="1">
        <v>4.0999999999999996</v>
      </c>
      <c r="D23" s="1">
        <v>3.3</v>
      </c>
      <c r="E23" s="7" t="s">
        <v>150</v>
      </c>
      <c r="F23" s="7" t="s">
        <v>150</v>
      </c>
    </row>
    <row r="24" spans="2:8" ht="18" customHeight="1" x14ac:dyDescent="0.15">
      <c r="B24" s="3" t="s">
        <v>126</v>
      </c>
      <c r="C24" s="1">
        <v>4.2</v>
      </c>
      <c r="D24" s="3" t="s">
        <v>127</v>
      </c>
      <c r="E24" s="7" t="s">
        <v>150</v>
      </c>
      <c r="F24" s="7" t="s">
        <v>150</v>
      </c>
    </row>
    <row r="27" spans="2:8" ht="18" customHeight="1" x14ac:dyDescent="0.15">
      <c r="B27" s="5" t="s">
        <v>199</v>
      </c>
    </row>
    <row r="28" spans="2:8" ht="18" customHeight="1" x14ac:dyDescent="0.15">
      <c r="B28" s="5" t="s">
        <v>200</v>
      </c>
      <c r="C28" s="5" t="s">
        <v>201</v>
      </c>
      <c r="D28" s="7" t="s">
        <v>202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150</v>
      </c>
      <c r="F35" s="70"/>
    </row>
  </sheetData>
  <mergeCells count="28">
    <mergeCell ref="C18:D18"/>
    <mergeCell ref="O14:O15"/>
    <mergeCell ref="U13:U14"/>
    <mergeCell ref="U3:U6"/>
    <mergeCell ref="U8:U10"/>
    <mergeCell ref="O7:O9"/>
    <mergeCell ref="I7:I9"/>
    <mergeCell ref="U11:U12"/>
    <mergeCell ref="O10:O11"/>
    <mergeCell ref="O12:O13"/>
    <mergeCell ref="I10:I12"/>
    <mergeCell ref="I13:I15"/>
    <mergeCell ref="E1:H1"/>
    <mergeCell ref="K1:N1"/>
    <mergeCell ref="Q1:T1"/>
    <mergeCell ref="I5:I6"/>
    <mergeCell ref="O4:O6"/>
    <mergeCell ref="B2:D2"/>
    <mergeCell ref="E3:H4"/>
    <mergeCell ref="Q3:T6"/>
    <mergeCell ref="K3:N3"/>
    <mergeCell ref="I3:I4"/>
    <mergeCell ref="M2:N2"/>
    <mergeCell ref="Q2:R2"/>
    <mergeCell ref="S2:T2"/>
    <mergeCell ref="E2:F2"/>
    <mergeCell ref="G2:H2"/>
    <mergeCell ref="K2:L2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33" t="s">
        <v>0</v>
      </c>
      <c r="B1" s="133"/>
      <c r="C1" s="133"/>
      <c r="D1" s="133"/>
      <c r="E1" s="133"/>
      <c r="G1" s="133" t="s">
        <v>42</v>
      </c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27" t="s">
        <v>9</v>
      </c>
      <c r="B8" s="128"/>
      <c r="C8" s="128"/>
      <c r="D8" s="128"/>
      <c r="E8" s="128"/>
      <c r="F8" s="129"/>
      <c r="G8" s="4"/>
      <c r="I8" s="127" t="s">
        <v>10</v>
      </c>
      <c r="J8" s="128"/>
      <c r="K8" s="128"/>
      <c r="L8" s="128"/>
      <c r="M8" s="128"/>
      <c r="N8" s="129"/>
      <c r="O8" s="1"/>
      <c r="Q8" s="127" t="s">
        <v>11</v>
      </c>
      <c r="R8" s="128"/>
      <c r="S8" s="128"/>
      <c r="T8" s="128"/>
      <c r="U8" s="128"/>
      <c r="V8" s="12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30">
        <f>D10+D11+D12+D13</f>
        <v>2</v>
      </c>
      <c r="G10" s="111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30">
        <f>L10+L11+L12+L13+L14+L15+L16</f>
        <v>3.5</v>
      </c>
      <c r="O10" s="111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34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31"/>
      <c r="G11" s="111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31"/>
      <c r="O11" s="111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35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31"/>
      <c r="G12" s="111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31"/>
      <c r="O12" s="111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36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32"/>
      <c r="G13" s="111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31"/>
      <c r="O13" s="111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30">
        <f>D10+D11+D12+D14+D15</f>
        <v>3.09375</v>
      </c>
      <c r="G14" s="111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31"/>
      <c r="O14" s="111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32"/>
      <c r="G15" s="111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31"/>
      <c r="O15" s="111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32"/>
      <c r="O16" s="111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27" t="s">
        <v>29</v>
      </c>
      <c r="B20" s="128"/>
      <c r="C20" s="128"/>
      <c r="D20" s="128"/>
      <c r="E20" s="129"/>
      <c r="I20" s="127" t="s">
        <v>30</v>
      </c>
      <c r="J20" s="128"/>
      <c r="K20" s="128"/>
      <c r="L20" s="128"/>
      <c r="M20" s="128"/>
      <c r="N20" s="12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34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35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36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34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36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37" t="s">
        <v>43</v>
      </c>
      <c r="B30" s="128"/>
      <c r="C30" s="128"/>
      <c r="D30" s="128"/>
      <c r="E30" s="128"/>
      <c r="F30" s="129"/>
      <c r="G30" s="4"/>
      <c r="I30" s="137" t="s">
        <v>44</v>
      </c>
      <c r="J30" s="128"/>
      <c r="K30" s="128"/>
      <c r="L30" s="128"/>
      <c r="M30" s="128"/>
      <c r="N30" s="12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30">
        <f>D32+D33+D34+D35</f>
        <v>2.8634999999999997</v>
      </c>
      <c r="G32" s="111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30">
        <f>L32+L33+L34+L35+L36+L37+L38</f>
        <v>4.4731499999999995</v>
      </c>
      <c r="O32" s="111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31"/>
      <c r="G33" s="111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31"/>
      <c r="O33" s="111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31"/>
      <c r="G34" s="111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31"/>
      <c r="O34" s="111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32"/>
      <c r="G35" s="111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31"/>
      <c r="O35" s="111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30">
        <f>D32+D33+D34+D36+D37</f>
        <v>4.2640000000000002</v>
      </c>
      <c r="G36" s="111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31"/>
      <c r="O36" s="111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32"/>
      <c r="G37" s="111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31"/>
      <c r="O37" s="111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32"/>
      <c r="O38" s="111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27" t="s">
        <v>29</v>
      </c>
      <c r="B43" s="128"/>
      <c r="C43" s="128"/>
      <c r="D43" s="128"/>
      <c r="E43" s="129"/>
      <c r="I43" s="127" t="s">
        <v>30</v>
      </c>
      <c r="J43" s="128"/>
      <c r="K43" s="128"/>
      <c r="L43" s="128"/>
      <c r="M43" s="128"/>
      <c r="N43" s="12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34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35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36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34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36"/>
    </row>
  </sheetData>
  <mergeCells count="28">
    <mergeCell ref="A43:E43"/>
    <mergeCell ref="I43:N43"/>
    <mergeCell ref="N45:N47"/>
    <mergeCell ref="N48:N49"/>
    <mergeCell ref="O32:O38"/>
    <mergeCell ref="F36:F37"/>
    <mergeCell ref="G36:G37"/>
    <mergeCell ref="A30:F30"/>
    <mergeCell ref="I30:N30"/>
    <mergeCell ref="F32:F35"/>
    <mergeCell ref="G32:G35"/>
    <mergeCell ref="N32:N38"/>
    <mergeCell ref="N22:N24"/>
    <mergeCell ref="N25:N26"/>
    <mergeCell ref="V10:V12"/>
    <mergeCell ref="G10:G13"/>
    <mergeCell ref="G14:G15"/>
    <mergeCell ref="O10:O16"/>
    <mergeCell ref="N10:N16"/>
    <mergeCell ref="A20:E20"/>
    <mergeCell ref="I20:N20"/>
    <mergeCell ref="F10:F13"/>
    <mergeCell ref="F14:F15"/>
    <mergeCell ref="A1:E1"/>
    <mergeCell ref="G1:W1"/>
    <mergeCell ref="A8:F8"/>
    <mergeCell ref="I8:N8"/>
    <mergeCell ref="Q8:V8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2026-05-16T10:12:45Z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