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7085E9F3-C66C-4354-9D56-30ADDD8DCC0E}" xr6:coauthVersionLast="47" xr6:coauthVersionMax="47" xr10:uidLastSave="{00000000-0000-0000-0000-000000000000}"/>
  <bookViews>
    <workbookView xWindow="34608" yWindow="-4152" windowWidth="26436" windowHeight="15432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7" i="5"/>
  <c r="AG6" i="5"/>
  <c r="AG8" i="5"/>
  <c r="AG9" i="5"/>
  <c r="AG10" i="5"/>
  <c r="AG12" i="5"/>
  <c r="AG13" i="5"/>
  <c r="AG14" i="5"/>
  <c r="AG16" i="5"/>
  <c r="AG17" i="5"/>
  <c r="AG18" i="5"/>
  <c r="AG20" i="5"/>
  <c r="AG21" i="5"/>
  <c r="Y21" i="5"/>
  <c r="Y20" i="5"/>
  <c r="Y18" i="5"/>
  <c r="Y17" i="5"/>
  <c r="Y16" i="5"/>
  <c r="Y14" i="5"/>
  <c r="Y13" i="5"/>
  <c r="Y12" i="5"/>
  <c r="Y10" i="5"/>
  <c r="Y9" i="5"/>
  <c r="Y8" i="5"/>
  <c r="Y7" i="5"/>
  <c r="Y6" i="5"/>
  <c r="AC21" i="5"/>
  <c r="AC20" i="5"/>
  <c r="AC18" i="5"/>
  <c r="AC17" i="5"/>
  <c r="AC16" i="5"/>
  <c r="AC14" i="5"/>
  <c r="AC13" i="5"/>
  <c r="AC12" i="5"/>
  <c r="AC10" i="5"/>
  <c r="AC9" i="5"/>
  <c r="AC8" i="5"/>
  <c r="AC7" i="5"/>
  <c r="AC6" i="5"/>
  <c r="AO6" i="5" l="1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O17" i="5" s="1"/>
  <c r="AN16" i="5"/>
  <c r="T16" i="5"/>
  <c r="Q16" i="5"/>
  <c r="AO16" i="5" s="1"/>
  <c r="AN14" i="5"/>
  <c r="T14" i="5"/>
  <c r="Q14" i="5"/>
  <c r="AO14" i="5" s="1"/>
  <c r="AN13" i="5"/>
  <c r="T13" i="5"/>
  <c r="Q13" i="5"/>
  <c r="BA13" i="5" s="1"/>
  <c r="AN12" i="5"/>
  <c r="T12" i="5"/>
  <c r="Q12" i="5"/>
  <c r="AO12" i="5" s="1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8" i="5"/>
  <c r="AQ9" i="5"/>
  <c r="AQ8" i="5"/>
  <c r="AQ7" i="5"/>
  <c r="AO21" i="5"/>
  <c r="AO20" i="5"/>
  <c r="AO18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E9" i="5"/>
  <c r="BE17" i="5"/>
  <c r="BE8" i="5"/>
  <c r="BE6" i="5"/>
  <c r="BC21" i="5"/>
  <c r="BE21" i="5"/>
  <c r="BE7" i="5"/>
  <c r="BC18" i="5"/>
  <c r="BE18" i="5"/>
  <c r="BE14" i="5"/>
  <c r="BE12" i="5"/>
  <c r="BE10" i="5"/>
  <c r="BC20" i="5"/>
  <c r="BE20" i="5"/>
  <c r="BE16" i="5"/>
  <c r="BE13" i="5"/>
  <c r="BA9" i="5"/>
  <c r="BC9" i="5"/>
  <c r="BA18" i="5"/>
  <c r="BA8" i="5"/>
  <c r="BC8" i="5"/>
  <c r="BA7" i="5"/>
  <c r="BC7" i="5"/>
  <c r="BA6" i="5"/>
  <c r="BC6" i="5"/>
  <c r="BA10" i="5"/>
  <c r="BC10" i="5"/>
  <c r="BA21" i="5"/>
  <c r="BA17" i="5"/>
  <c r="BA20" i="5"/>
  <c r="BA14" i="5"/>
  <c r="BA16" i="5" l="1"/>
  <c r="AO13" i="5"/>
  <c r="AP13" i="5" s="1"/>
  <c r="BA12" i="5"/>
  <c r="BB12" i="5" s="1"/>
  <c r="BF20" i="5"/>
  <c r="BD20" i="5"/>
  <c r="BF21" i="5"/>
  <c r="BD21" i="5"/>
  <c r="BB21" i="5"/>
  <c r="BF16" i="5"/>
  <c r="BB16" i="5"/>
  <c r="BF17" i="5"/>
  <c r="BB17" i="5"/>
  <c r="BF18" i="5"/>
  <c r="BD18" i="5"/>
  <c r="BB18" i="5"/>
  <c r="BF12" i="5"/>
  <c r="BF13" i="5"/>
  <c r="BB13" i="5"/>
  <c r="BF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6" i="5"/>
  <c r="AP16" i="5"/>
  <c r="AP17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BC17" i="5" l="1"/>
  <c r="BD17" i="5" s="1"/>
  <c r="AQ17" i="5"/>
  <c r="AR17" i="5" s="1"/>
  <c r="BC16" i="5"/>
  <c r="BD16" i="5" s="1"/>
  <c r="AQ16" i="5"/>
  <c r="AQ14" i="5"/>
  <c r="AR14" i="5" s="1"/>
  <c r="BC14" i="5"/>
  <c r="BD14" i="5" s="1"/>
  <c r="BC13" i="5"/>
  <c r="BD13" i="5" s="1"/>
  <c r="AQ13" i="5"/>
  <c r="AR13" i="5" s="1"/>
  <c r="BC12" i="5"/>
  <c r="BD12" i="5" s="1"/>
  <c r="AQ12" i="5"/>
  <c r="AR12" i="5" s="1"/>
  <c r="AT13" i="5"/>
  <c r="AT10" i="5"/>
  <c r="AT8" i="5"/>
  <c r="AT17" i="5"/>
  <c r="AT14" i="5"/>
  <c r="AT12" i="5"/>
  <c r="AT21" i="5"/>
  <c r="AT9" i="5"/>
  <c r="AT6" i="5"/>
  <c r="AT20" i="5"/>
  <c r="AT18" i="5"/>
  <c r="AR16" i="5"/>
  <c r="AR10" i="5"/>
  <c r="AR8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<sst xmlns="http://schemas.openxmlformats.org/spreadsheetml/2006/main" count="447" uniqueCount="243">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</sst>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abSelected="1" topLeftCell="B1" zoomScale="85" zoomScaleNormal="85" workbookViewId="0">
      <pane xSplit="2" ySplit="5" topLeftCell="E6" activePane="bottomRight" state="frozen"/>
      <selection activeCell="B1" sqref="B1"/>
      <selection pane="topRight" activeCell="C1" sqref="C1"/>
      <selection pane="bottomLeft" activeCell="B4" sqref="B4"/>
      <selection pane="bottomRight" activeCell="J12" sqref="J12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219</v>
      </c>
      <c r="AF2" s="72" t="s">
        <v>218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228</v>
      </c>
      <c r="AR2" s="7" t="s">
        <v>227</v>
      </c>
      <c r="AT2" s="72" t="s">
        <v>226</v>
      </c>
      <c r="AV2" s="8">
        <v>1.2</v>
      </c>
      <c r="AW2" s="8">
        <v>0.6</v>
      </c>
      <c r="AX2" s="8">
        <v>0.6</v>
      </c>
      <c r="BB2" s="7" t="s">
        <v>230</v>
      </c>
      <c r="BD2" s="7" t="s">
        <v>231</v>
      </c>
      <c r="BF2" s="72" t="s">
        <v>229</v>
      </c>
    </row>
    <row r="3" spans="2:58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21"/>
      <c r="V3" s="21"/>
      <c r="W3" s="90" t="s">
        <v>215</v>
      </c>
      <c r="X3" s="91"/>
      <c r="Y3" s="91"/>
      <c r="Z3" s="91"/>
      <c r="AA3" s="90" t="s">
        <v>216</v>
      </c>
      <c r="AB3" s="91"/>
      <c r="AC3" s="91"/>
      <c r="AD3" s="91"/>
      <c r="AE3" s="90" t="s">
        <v>217</v>
      </c>
      <c r="AF3" s="91"/>
      <c r="AG3" s="91"/>
      <c r="AH3" s="91"/>
      <c r="AJ3" s="84" t="s">
        <v>57</v>
      </c>
      <c r="AK3" s="84"/>
      <c r="AL3" s="84"/>
      <c r="AM3" s="84"/>
      <c r="AN3" s="84"/>
      <c r="AO3" s="84"/>
      <c r="AP3" s="84"/>
      <c r="AQ3" s="84"/>
      <c r="AR3" s="84"/>
      <c r="AS3" s="84"/>
      <c r="AT3" s="84"/>
      <c r="AV3" s="86" t="s">
        <v>234</v>
      </c>
      <c r="AW3" s="87"/>
      <c r="AX3" s="87"/>
      <c r="AY3" s="87"/>
      <c r="AZ3" s="87"/>
      <c r="BA3" s="87"/>
      <c r="BB3" s="87"/>
      <c r="BC3" s="87"/>
      <c r="BD3" s="87"/>
      <c r="BE3" s="87"/>
      <c r="BF3" s="87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205</v>
      </c>
      <c r="L5" s="33" t="s">
        <v>208</v>
      </c>
      <c r="M5" s="33" t="s">
        <v>209</v>
      </c>
      <c r="N5" s="28" t="s">
        <v>206</v>
      </c>
      <c r="O5" s="30" t="s">
        <v>207</v>
      </c>
      <c r="P5" s="23" t="s">
        <v>66</v>
      </c>
      <c r="Q5" s="61" t="s">
        <v>204</v>
      </c>
      <c r="R5" s="61" t="s">
        <v>210</v>
      </c>
      <c r="S5" s="61" t="s">
        <v>211</v>
      </c>
      <c r="T5" s="48" t="s">
        <v>212</v>
      </c>
      <c r="U5" s="48" t="s">
        <v>213</v>
      </c>
      <c r="V5" s="48" t="s">
        <v>214</v>
      </c>
      <c r="W5" s="12" t="s">
        <v>69</v>
      </c>
      <c r="X5" s="79" t="s">
        <v>67</v>
      </c>
      <c r="Y5" s="82" t="s">
        <v>233</v>
      </c>
      <c r="Z5" s="79" t="s">
        <v>232</v>
      </c>
      <c r="AA5" s="15" t="s">
        <v>69</v>
      </c>
      <c r="AB5" s="78" t="s">
        <v>67</v>
      </c>
      <c r="AC5" s="33" t="s">
        <v>233</v>
      </c>
      <c r="AD5" s="78" t="s">
        <v>232</v>
      </c>
      <c r="AE5" s="22" t="s">
        <v>69</v>
      </c>
      <c r="AF5" s="77" t="s">
        <v>67</v>
      </c>
      <c r="AG5" s="80" t="s">
        <v>233</v>
      </c>
      <c r="AH5" s="77" t="s">
        <v>232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220</v>
      </c>
      <c r="AP5" s="75" t="s">
        <v>223</v>
      </c>
      <c r="AQ5" s="31" t="s">
        <v>221</v>
      </c>
      <c r="AR5" s="75" t="s">
        <v>224</v>
      </c>
      <c r="AS5" s="31" t="s">
        <v>222</v>
      </c>
      <c r="AT5" s="75" t="s">
        <v>225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220</v>
      </c>
      <c r="BB5" s="75" t="s">
        <v>223</v>
      </c>
      <c r="BC5" s="31" t="s">
        <v>221</v>
      </c>
      <c r="BD5" s="75" t="s">
        <v>224</v>
      </c>
      <c r="BE5" s="31" t="s">
        <v>222</v>
      </c>
      <c r="BF5" s="75" t="s">
        <v>225</v>
      </c>
    </row>
    <row r="6" spans="2:58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>
        <f>[1]!CALC_DMG(AV6,T6,$D$2, P6)</f>
        <v>0.8</v>
      </c>
      <c r="Z6" s="79">
        <f>K6/Y6</f>
        <v>27.5</v>
      </c>
      <c r="AA6" s="15">
        <f>CALC_DMG(AJ6,U6,$D$2,P6)</f>
        <v>1.5</v>
      </c>
      <c r="AB6" s="78">
        <f>L6/AA6</f>
        <v>14</v>
      </c>
      <c r="AC6" s="15">
        <f>[1]!CALC_DMG(AV6,U6,$D$2,P6)</f>
        <v>2.2999999999999998</v>
      </c>
      <c r="AD6" s="78">
        <f>L6/AC6</f>
        <v>9.1304347826086971</v>
      </c>
      <c r="AE6" s="22">
        <f>CALC_DMG(AJ6,V6,$D$2,P6)</f>
        <v>3</v>
      </c>
      <c r="AF6" s="77">
        <f>M6/AE6</f>
        <v>6.666666666666667</v>
      </c>
      <c r="AG6" s="22">
        <f>[1]!CALC_DMG(AV6,V6,$D$2,P6)</f>
        <v>3.8</v>
      </c>
      <c r="AH6" s="77">
        <f>M6/AG6</f>
        <v>5.2631578947368425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>
        <f>[1]!CALC_DMG(AV7,T7,$D$2, P7)</f>
        <v>1.28</v>
      </c>
      <c r="Z7" s="79">
        <f t="shared" ref="Z7:Z10" si="4">K7/Y7</f>
        <v>31.25</v>
      </c>
      <c r="AA7" s="15">
        <f t="shared" ref="AA7:AA10" si="5">CALC_DMG(AJ7,U7,$D$2,P7)</f>
        <v>2.34</v>
      </c>
      <c r="AB7" s="78">
        <f t="shared" ref="AB7:AB10" si="6">L7/AA7</f>
        <v>13.888888888888889</v>
      </c>
      <c r="AC7" s="15">
        <f>[1]!CALC_DMG(AV7,U7,$D$2,P7)</f>
        <v>3.94</v>
      </c>
      <c r="AD7" s="78">
        <f t="shared" ref="AD7:AD10" si="7">L7/AC7</f>
        <v>8.2487309644670059</v>
      </c>
      <c r="AE7" s="22">
        <f t="shared" ref="AE7:AE10" si="8">CALC_DMG(AJ7,V7,$D$2,P7)</f>
        <v>5</v>
      </c>
      <c r="AF7" s="77">
        <f t="shared" ref="AF7:AF21" si="9">M7/AE7</f>
        <v>5</v>
      </c>
      <c r="AG7" s="22">
        <f>[1]!CALC_DMG(AV7,V7,$D$2,P7)</f>
        <v>6.6</v>
      </c>
      <c r="AH7" s="77">
        <f t="shared" ref="AH7:AH10" si="10">M7/AG7</f>
        <v>3.7878787878787881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4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5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6">AW7/BE7</f>
        <v>1.1432926829268293</v>
      </c>
    </row>
    <row r="8" spans="2:58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>
        <f>[1]!CALC_DMG(AV8,T8,$D$2, P8)</f>
        <v>4.71</v>
      </c>
      <c r="Z8" s="79">
        <f t="shared" si="4"/>
        <v>21.231422505307854</v>
      </c>
      <c r="AA8" s="15">
        <f t="shared" si="5"/>
        <v>4.2449999999999992</v>
      </c>
      <c r="AB8" s="78">
        <f t="shared" si="6"/>
        <v>16.489988221436988</v>
      </c>
      <c r="AC8" s="15">
        <f>[1]!CALC_DMG(AV8,U8,$D$2,P8)</f>
        <v>7.19</v>
      </c>
      <c r="AD8" s="78">
        <f t="shared" si="7"/>
        <v>9.7357440890125169</v>
      </c>
      <c r="AE8" s="22">
        <f t="shared" si="8"/>
        <v>6.7249999999999996</v>
      </c>
      <c r="AF8" s="77">
        <f t="shared" si="9"/>
        <v>5.947955390334573</v>
      </c>
      <c r="AG8" s="22">
        <f>[1]!CALC_DMG(AV8,V8,$D$2,P8)</f>
        <v>9.67</v>
      </c>
      <c r="AH8" s="77">
        <f t="shared" si="10"/>
        <v>4.1365046535677354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4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5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6"/>
        <v>1.4474772539288669</v>
      </c>
    </row>
    <row r="9" spans="2:58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>
        <f>[1]!CALC_DMG(AV9,T9,$D$2, P9)</f>
        <v>18.559999999999999</v>
      </c>
      <c r="Z9" s="79">
        <f t="shared" si="4"/>
        <v>10.775862068965518</v>
      </c>
      <c r="AA9" s="15">
        <f t="shared" si="5"/>
        <v>15.439999999999998</v>
      </c>
      <c r="AB9" s="78">
        <f t="shared" si="6"/>
        <v>9.7150259067357521</v>
      </c>
      <c r="AC9" s="15">
        <f>[1]!CALC_DMG(AV9,U9,$D$2,P9)</f>
        <v>21.52</v>
      </c>
      <c r="AD9" s="78">
        <f t="shared" si="7"/>
        <v>6.970260223048327</v>
      </c>
      <c r="AE9" s="22">
        <f t="shared" si="8"/>
        <v>18.399999999999999</v>
      </c>
      <c r="AF9" s="77">
        <f t="shared" si="9"/>
        <v>5.4347826086956523</v>
      </c>
      <c r="AG9" s="22">
        <f>[1]!CALC_DMG(AV9,V9,$D$2,P9)</f>
        <v>24.48</v>
      </c>
      <c r="AH9" s="77">
        <f t="shared" si="10"/>
        <v>4.0849673202614376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4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5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6"/>
        <v>1.3433981576253837</v>
      </c>
    </row>
    <row r="10" spans="2:58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>
        <f>[1]!CALC_DMG(AV10,T10,$D$2, P10)</f>
        <v>27.56</v>
      </c>
      <c r="Z10" s="79">
        <f t="shared" si="4"/>
        <v>12.336719883889696</v>
      </c>
      <c r="AA10" s="15">
        <f t="shared" si="5"/>
        <v>22.200000000000003</v>
      </c>
      <c r="AB10" s="78">
        <f t="shared" si="6"/>
        <v>10.360360360360358</v>
      </c>
      <c r="AC10" s="15">
        <f>[1]!CALC_DMG(AV10,U10,$D$2,P10)</f>
        <v>30.66</v>
      </c>
      <c r="AD10" s="78">
        <f t="shared" si="7"/>
        <v>7.5016307893020224</v>
      </c>
      <c r="AE10" s="22">
        <f t="shared" si="8"/>
        <v>25.300000000000004</v>
      </c>
      <c r="AF10" s="77">
        <f t="shared" si="9"/>
        <v>4.7430830039525684</v>
      </c>
      <c r="AG10" s="22">
        <f>[1]!CALC_DMG(AV10,V10,$D$2,P10)</f>
        <v>33.76</v>
      </c>
      <c r="AH10" s="77">
        <f t="shared" si="10"/>
        <v>3.5545023696682465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4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5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6"/>
        <v>1.524390243902439</v>
      </c>
    </row>
    <row r="11" spans="2:58" ht="24" customHeight="1" x14ac:dyDescent="0.15">
      <c r="B11" s="89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>
        <f t="shared" ref="W12:W14" si="21">CALC_DMG(AJ12,T12,$D$2, P12)</f>
        <v>30.299999999999997</v>
      </c>
      <c r="X12" s="79">
        <f t="shared" ref="X12:X14" si="22">K12/W12</f>
        <v>17.821782178217823</v>
      </c>
      <c r="Y12" s="12">
        <f>[1]!CALC_DMG(AV12,T12,$D$2, P12)</f>
        <v>45.96</v>
      </c>
      <c r="Z12" s="79">
        <f t="shared" ref="Z12:Z14" si="23">K12/Y12</f>
        <v>11.74934725848564</v>
      </c>
      <c r="AA12" s="15">
        <f t="shared" ref="AA12:AA14" si="24">CALC_DMG(AJ12,U12,$D$2,P12)</f>
        <v>44.3</v>
      </c>
      <c r="AB12" s="78">
        <f t="shared" ref="AB12:AB14" si="25">L12/AA12</f>
        <v>9.4808126410835225</v>
      </c>
      <c r="AC12" s="15">
        <f>[1]!CALC_DMG(AV12,U12,$D$2,P12)</f>
        <v>59.96</v>
      </c>
      <c r="AD12" s="78">
        <f t="shared" ref="AD12:AD14" si="26">L12/AC12</f>
        <v>7.0046697798532351</v>
      </c>
      <c r="AE12" s="22">
        <f t="shared" ref="AE12:AE14" si="27">CALC_DMG(AJ12,V12,$D$2,P12)</f>
        <v>58.3</v>
      </c>
      <c r="AF12" s="77">
        <f t="shared" si="9"/>
        <v>5.1457975986277873</v>
      </c>
      <c r="AG12" s="22">
        <f>[1]!CALC_DMG(AV12,V12,$D$2,P12)</f>
        <v>73.959999999999994</v>
      </c>
      <c r="AH12" s="77">
        <f t="shared" ref="AH12:AH14" si="28">M12/AG12</f>
        <v>4.056246619794484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 t="e">
        <f ca="1">CALC_DMG(Q12*$AK$1,AN12,$AI$2,1)*$AK$2+CALC_DMG(Q12*$AL$1,AN12,$AI$2,1)*$AL$2+CALC_DMG(Q12*$AM$1,AN12,$AI$2,1)*$AM$2</f>
        <v>#NAME?</v>
      </c>
      <c r="AP12" s="75" t="e">
        <f ca="1">AK12/AO12</f>
        <v>#NAME?</v>
      </c>
      <c r="AQ12" s="20" t="e">
        <f ca="1">CALC_DMG(R12*$AK$1,AN12,$AI$2,1)*$AK$2+CALC_DMG(R12*$AL$1,AN12,$AI$2,1)*$AL$2+CALC_DMG(R12*$AM$1,AN12,$AI$2,1)*$AM$2</f>
        <v>#NAME?</v>
      </c>
      <c r="AR12" s="75" t="e">
        <f ca="1">AK12/AQ12</f>
        <v>#NAME?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 t="e">
        <f ca="1">[1]!CALC_DMG(Q12*$AK$1,AZ12,$AI$2,1)*$AK$2+[1]!CALC_DMG(Q12*$AL$1,AZ12,$AI$2,1)*$AL$2+[1]!CALC_DMG(Q12*$AM$1,AZ12,$AI$2,1)*$AM$2</f>
        <v>#NAME?</v>
      </c>
      <c r="BB12" s="75" t="e">
        <f t="shared" ref="BB12:BB14" ca="1" si="34">AW12/BA12</f>
        <v>#NAME?</v>
      </c>
      <c r="BC12" s="20" t="e">
        <f ca="1">[1]!CALC_DMG(R12*$AK$1,AZ12,$AI$2,1)*$AK$2+[1]!CALC_DMG(R12*$AL$1,AZ12,$AI$2,1)*$AL$2+[1]!CALC_DMG(R12*$AM$1,AZ12,$AI$2,1)*$AM$2</f>
        <v>#NAME?</v>
      </c>
      <c r="BD12" s="75" t="e">
        <f t="shared" ref="BD12:BD14" ca="1" si="35">AW12/BC12</f>
        <v>#NAME?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36">AW12/BE12</f>
        <v>1.5738117721120553</v>
      </c>
    </row>
    <row r="13" spans="2:58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>
        <f t="shared" si="21"/>
        <v>46.45</v>
      </c>
      <c r="X13" s="79">
        <f t="shared" si="22"/>
        <v>15.931108719052745</v>
      </c>
      <c r="Y13" s="12">
        <f>[1]!CALC_DMG(AV13,T13,$D$2, P13)</f>
        <v>71.099999999999994</v>
      </c>
      <c r="Z13" s="79">
        <f t="shared" si="23"/>
        <v>10.407876230661042</v>
      </c>
      <c r="AA13" s="15">
        <f t="shared" si="24"/>
        <v>63.85</v>
      </c>
      <c r="AB13" s="78">
        <f t="shared" si="25"/>
        <v>9.7102584181675802</v>
      </c>
      <c r="AC13" s="15">
        <f>[1]!CALC_DMG(AV13,U13,$D$2,P13)</f>
        <v>88.5</v>
      </c>
      <c r="AD13" s="78">
        <f t="shared" si="26"/>
        <v>7.0056497175141246</v>
      </c>
      <c r="AE13" s="22">
        <f t="shared" si="27"/>
        <v>81.25</v>
      </c>
      <c r="AF13" s="77">
        <f t="shared" si="9"/>
        <v>6.1538461538461542</v>
      </c>
      <c r="AG13" s="22">
        <f>[1]!CALC_DMG(AV13,V13,$D$2,P13)</f>
        <v>105.9</v>
      </c>
      <c r="AH13" s="77">
        <f t="shared" si="28"/>
        <v>4.7214353163361658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 t="e">
        <f ca="1">CALC_DMG(Q13*$AK$1,AN13,$AI$2,1)*$AK$2+CALC_DMG(Q13*$AL$1,AN13,$AI$2,1)*$AL$2+CALC_DMG(Q13*$AM$1,AN13,$AI$2,1)*$AM$2</f>
        <v>#NAME?</v>
      </c>
      <c r="AP13" s="75" t="e">
        <f ca="1">AK13/AO13</f>
        <v>#NAME?</v>
      </c>
      <c r="AQ13" s="20" t="e">
        <f ca="1">CALC_DMG(R13*$AK$1,AN13,$AI$2,1)*$AK$2+CALC_DMG(R13*$AL$1,AN13,$AI$2,1)*$AL$2+CALC_DMG(R13*$AM$1,AN13,$AI$2,1)*$AM$2</f>
        <v>#NAME?</v>
      </c>
      <c r="AR13" s="75" t="e">
        <f ca="1">AK13/AQ13</f>
        <v>#NAME?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 t="e">
        <f ca="1">[1]!CALC_DMG(Q13*$AK$1,AZ13,$AI$2,1)*$AK$2+[1]!CALC_DMG(Q13*$AL$1,AZ13,$AI$2,1)*$AL$2+[1]!CALC_DMG(Q13*$AM$1,AZ13,$AI$2,1)*$AM$2</f>
        <v>#NAME?</v>
      </c>
      <c r="BB13" s="75" t="e">
        <f t="shared" ca="1" si="34"/>
        <v>#NAME?</v>
      </c>
      <c r="BC13" s="20" t="e">
        <f ca="1">[1]!CALC_DMG(R13*$AK$1,AZ13,$AI$2,1)*$AK$2+[1]!CALC_DMG(R13*$AL$1,AZ13,$AI$2,1)*$AL$2+[1]!CALC_DMG(R13*$AM$1,AZ13,$AI$2,1)*$AM$2</f>
        <v>#NAME?</v>
      </c>
      <c r="BD13" s="75" t="e">
        <f t="shared" ca="1" si="35"/>
        <v>#NAME?</v>
      </c>
      <c r="BE13" s="20">
        <f>[1]!CALC_DMG(S13*$AK$1,AZ13,$AI$2,1)*$AK$2+[1]!CALC_DMG(S13*$AL$1,AZ13,$AI$2,1)*$AL$2+[1]!CALC_DMG(S13*$AM$1,AZ13,$AI$2,1)*$AM$2</f>
        <v>443.64</v>
      </c>
      <c r="BF13" s="75">
        <f t="shared" si="36"/>
        <v>1.4876927238301325</v>
      </c>
    </row>
    <row r="14" spans="2:58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>
        <f t="shared" si="21"/>
        <v>73.950000000000017</v>
      </c>
      <c r="X14" s="79">
        <f t="shared" si="22"/>
        <v>13.522650439486137</v>
      </c>
      <c r="Y14" s="12">
        <f>[1]!CALC_DMG(AV14,T14,$D$2, P14)</f>
        <v>110.5</v>
      </c>
      <c r="Z14" s="79">
        <f t="shared" si="23"/>
        <v>9.0497737556561084</v>
      </c>
      <c r="AA14" s="15">
        <f t="shared" si="24"/>
        <v>93.350000000000009</v>
      </c>
      <c r="AB14" s="78">
        <f t="shared" si="25"/>
        <v>9.1055168719871435</v>
      </c>
      <c r="AC14" s="15">
        <f>[1]!CALC_DMG(AV14,U14,$D$2,P14)</f>
        <v>129.9</v>
      </c>
      <c r="AD14" s="78">
        <f t="shared" si="26"/>
        <v>6.5434949961508853</v>
      </c>
      <c r="AE14" s="22">
        <f t="shared" si="27"/>
        <v>112.75</v>
      </c>
      <c r="AF14" s="77">
        <f t="shared" si="9"/>
        <v>6.2084257206208422</v>
      </c>
      <c r="AG14" s="22">
        <f>[1]!CALC_DMG(AV14,V14,$D$2,P14)</f>
        <v>149.30000000000001</v>
      </c>
      <c r="AH14" s="77">
        <f t="shared" si="28"/>
        <v>4.6885465505693231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 t="e">
        <f ca="1">CALC_DMG(Q14*$AK$1,AN14,$AI$2,1)*$AK$2+CALC_DMG(Q14*$AL$1,AN14,$AI$2,1)*$AL$2+CALC_DMG(Q14*$AM$1,AN14,$AI$2,1)*$AM$2</f>
        <v>#NAME?</v>
      </c>
      <c r="AP14" s="75" t="e">
        <f ca="1">AK14/AO14</f>
        <v>#NAME?</v>
      </c>
      <c r="AQ14" s="20" t="e">
        <f ca="1">CALC_DMG(R14*$AK$1,AN14,$AI$2,1)*$AK$2+CALC_DMG(R14*$AL$1,AN14,$AI$2,1)*$AL$2+CALC_DMG(R14*$AM$1,AN14,$AI$2,1)*$AM$2</f>
        <v>#NAME?</v>
      </c>
      <c r="AR14" s="75" t="e">
        <f ca="1">AK14/AQ14</f>
        <v>#NAME?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 t="e">
        <f ca="1">[1]!CALC_DMG(Q14*$AK$1,AZ14,$AI$2,1)*$AK$2+[1]!CALC_DMG(Q14*$AL$1,AZ14,$AI$2,1)*$AL$2+[1]!CALC_DMG(Q14*$AM$1,AZ14,$AI$2,1)*$AM$2</f>
        <v>#NAME?</v>
      </c>
      <c r="BB14" s="75" t="e">
        <f t="shared" ca="1" si="34"/>
        <v>#NAME?</v>
      </c>
      <c r="BC14" s="20" t="e">
        <f ca="1">[1]!CALC_DMG(R14*$AK$1,AZ14,$AI$2,1)*$AK$2+[1]!CALC_DMG(R14*$AL$1,AZ14,$AI$2,1)*$AL$2+[1]!CALC_DMG(R14*$AM$1,AZ14,$AI$2,1)*$AM$2</f>
        <v>#NAME?</v>
      </c>
      <c r="BD14" s="75" t="e">
        <f t="shared" ca="1" si="35"/>
        <v>#NAME?</v>
      </c>
      <c r="BE14" s="20">
        <f>[1]!CALC_DMG(S14*$AK$1,AZ14,$AI$2,1)*$AK$2+[1]!CALC_DMG(S14*$AL$1,AZ14,$AI$2,1)*$AL$2+[1]!CALC_DMG(S14*$AM$1,AZ14,$AI$2,1)*$AM$2</f>
        <v>1511.52</v>
      </c>
      <c r="BF14" s="75">
        <f t="shared" si="36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>
        <f t="shared" ref="W16:W18" si="40">CALC_DMG(AJ16,T16,$D$2, P16)</f>
        <v>92.800000000000011</v>
      </c>
      <c r="X16" s="79">
        <f t="shared" ref="X16:X18" si="41">K16/W16</f>
        <v>14.008620689655171</v>
      </c>
      <c r="Y16" s="12">
        <f>[1]!CALC_DMG(AV16,T16,$D$2, P16)</f>
        <v>144.80000000000001</v>
      </c>
      <c r="Z16" s="79">
        <f t="shared" ref="Z16:Z18" si="42">K16/Y16</f>
        <v>8.9779005524861866</v>
      </c>
      <c r="AA16" s="15">
        <f t="shared" ref="AA16:AA18" si="43">CALC_DMG(AJ16,U16,$D$2,P16)</f>
        <v>128.9</v>
      </c>
      <c r="AB16" s="78">
        <f t="shared" ref="AB16:AB18" si="44">L16/AA16</f>
        <v>8.9216446858029474</v>
      </c>
      <c r="AC16" s="15">
        <f>[1]!CALC_DMG(AV16,U16,$D$2,P16)</f>
        <v>180.9</v>
      </c>
      <c r="AD16" s="78">
        <f t="shared" ref="AD16:AD18" si="45">L16/AC16</f>
        <v>6.3571033720287451</v>
      </c>
      <c r="AE16" s="22">
        <f t="shared" ref="AE16:AE18" si="46">CALC_DMG(AJ16,V16,$D$2,P16)</f>
        <v>165</v>
      </c>
      <c r="AF16" s="77">
        <f t="shared" si="9"/>
        <v>6.0606060606060606</v>
      </c>
      <c r="AG16" s="22">
        <f>[1]!CALC_DMG(AV16,V16,$D$2,P16)</f>
        <v>217</v>
      </c>
      <c r="AH16" s="77">
        <f t="shared" ref="AH16:AH18" si="47">M16/AG16</f>
        <v>4.6082949308755756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 t="e">
        <f ca="1">CALC_DMG(Q16*$AK$1,AN16,$AI$2,1)*$AK$2+CALC_DMG(Q16*$AL$1,AN16,$AI$2,1)*$AL$2+CALC_DMG(Q16*$AM$1,AN16,$AI$2,1)*$AM$2</f>
        <v>#NAME?</v>
      </c>
      <c r="AP16" s="75" t="e">
        <f ca="1">AK16/AO16</f>
        <v>#NAME?</v>
      </c>
      <c r="AQ16" s="20" t="e">
        <f ca="1">CALC_DMG(R16*$AK$1,AN16,$AI$2,1)*$AK$2+CALC_DMG(R16*$AL$1,AN16,$AI$2,1)*$AL$2+CALC_DMG(R16*$AM$1,AN16,$AI$2,1)*$AM$2</f>
        <v>#NAME?</v>
      </c>
      <c r="AR16" s="75" t="e">
        <f ca="1">AK16/AQ16</f>
        <v>#NAME?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 t="e">
        <f ca="1">[1]!CALC_DMG(Q16*$AK$1,AZ16,$AI$2,1)*$AK$2+[1]!CALC_DMG(Q16*$AL$1,AZ16,$AI$2,1)*$AL$2+[1]!CALC_DMG(Q16*$AM$1,AZ16,$AI$2,1)*$AM$2</f>
        <v>#NAME?</v>
      </c>
      <c r="BB16" s="75" t="e">
        <f t="shared" ref="BB16:BB18" ca="1" si="53">AW16/BA16</f>
        <v>#NAME?</v>
      </c>
      <c r="BC16" s="20" t="e">
        <f ca="1">[1]!CALC_DMG(R16*$AK$1,AZ16,$AI$2,1)*$AK$2+[1]!CALC_DMG(R16*$AL$1,AZ16,$AI$2,1)*$AL$2+[1]!CALC_DMG(R16*$AM$1,AZ16,$AI$2,1)*$AM$2</f>
        <v>#NAME?</v>
      </c>
      <c r="BD16" s="75" t="e">
        <f t="shared" ref="BD16:BD18" ca="1" si="54">AW16/BC16</f>
        <v>#NAME?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55">AW16/BE16</f>
        <v>1.7136329017517138</v>
      </c>
    </row>
    <row r="17" spans="2:58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>
        <f t="shared" si="40"/>
        <v>132.79999999999998</v>
      </c>
      <c r="X17" s="79">
        <f t="shared" si="41"/>
        <v>12.04819277108434</v>
      </c>
      <c r="Y17" s="12">
        <f>[1]!CALC_DMG(AV17,T17,$D$2, P17)</f>
        <v>206.4</v>
      </c>
      <c r="Z17" s="79">
        <f t="shared" si="42"/>
        <v>7.7519379844961236</v>
      </c>
      <c r="AA17" s="15">
        <f t="shared" si="43"/>
        <v>172.89999999999998</v>
      </c>
      <c r="AB17" s="78">
        <f t="shared" si="44"/>
        <v>8.3863504916136513</v>
      </c>
      <c r="AC17" s="15">
        <f>[1]!CALC_DMG(AV17,U17,$D$2,P17)</f>
        <v>246.5</v>
      </c>
      <c r="AD17" s="78">
        <f t="shared" si="45"/>
        <v>5.882352941176471</v>
      </c>
      <c r="AE17" s="22">
        <f t="shared" si="46"/>
        <v>213</v>
      </c>
      <c r="AF17" s="77">
        <f t="shared" si="9"/>
        <v>6.103286384976526</v>
      </c>
      <c r="AG17" s="22">
        <f>[1]!CALC_DMG(AV17,V17,$D$2,P17)</f>
        <v>286.60000000000002</v>
      </c>
      <c r="AH17" s="77">
        <f t="shared" si="47"/>
        <v>4.5359385903698533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 t="e">
        <f ca="1">CALC_DMG(Q17*$AK$1,AN17,$AI$2,1)*$AK$2+CALC_DMG(Q17*$AL$1,AN17,$AI$2,1)*$AL$2+CALC_DMG(Q17*$AM$1,AN17,$AI$2,1)*$AM$2</f>
        <v>#NAME?</v>
      </c>
      <c r="AP17" s="75" t="e">
        <f ca="1">AK17/AO17</f>
        <v>#NAME?</v>
      </c>
      <c r="AQ17" s="20" t="e">
        <f ca="1">CALC_DMG(R17*$AK$1,AN17,$AI$2,1)*$AK$2+CALC_DMG(R17*$AL$1,AN17,$AI$2,1)*$AL$2+CALC_DMG(R17*$AM$1,AN17,$AI$2,1)*$AM$2</f>
        <v>#NAME?</v>
      </c>
      <c r="AR17" s="75" t="e">
        <f ca="1">AK17/AQ17</f>
        <v>#NAME?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 t="e">
        <f ca="1">[1]!CALC_DMG(Q17*$AK$1,AZ17,$AI$2,1)*$AK$2+[1]!CALC_DMG(Q17*$AL$1,AZ17,$AI$2,1)*$AL$2+[1]!CALC_DMG(Q17*$AM$1,AZ17,$AI$2,1)*$AM$2</f>
        <v>#NAME?</v>
      </c>
      <c r="BB17" s="75" t="e">
        <f t="shared" ca="1" si="53"/>
        <v>#NAME?</v>
      </c>
      <c r="BC17" s="20" t="e">
        <f ca="1">[1]!CALC_DMG(R17*$AK$1,AZ17,$AI$2,1)*$AK$2+[1]!CALC_DMG(R17*$AL$1,AZ17,$AI$2,1)*$AL$2+[1]!CALC_DMG(R17*$AM$1,AZ17,$AI$2,1)*$AM$2</f>
        <v>#NAME?</v>
      </c>
      <c r="BD17" s="75" t="e">
        <f t="shared" ca="1" si="54"/>
        <v>#NAME?</v>
      </c>
      <c r="BE17" s="20">
        <f>[1]!CALC_DMG(S17*$AK$1,AZ17,$AI$2,1)*$AK$2+[1]!CALC_DMG(S17*$AL$1,AZ17,$AI$2,1)*$AL$2+[1]!CALC_DMG(S17*$AM$1,AZ17,$AI$2,1)*$AM$2</f>
        <v>2503.44</v>
      </c>
      <c r="BF17" s="75">
        <f t="shared" si="55"/>
        <v>1.9173617102866456</v>
      </c>
    </row>
    <row r="18" spans="2:58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>
        <f t="shared" si="40"/>
        <v>177.2</v>
      </c>
      <c r="X18" s="79">
        <f t="shared" si="41"/>
        <v>10.72234762979684</v>
      </c>
      <c r="Y18" s="12">
        <f>[1]!CALC_DMG(AV18,T18,$D$2, P18)</f>
        <v>275.2</v>
      </c>
      <c r="Z18" s="79">
        <f t="shared" si="42"/>
        <v>6.904069767441861</v>
      </c>
      <c r="AA18" s="15">
        <f t="shared" si="43"/>
        <v>218.59999999999997</v>
      </c>
      <c r="AB18" s="78">
        <f t="shared" si="44"/>
        <v>8.005489478499543</v>
      </c>
      <c r="AC18" s="15">
        <f>[1]!CALC_DMG(AV18,U18,$D$2,P18)</f>
        <v>316.60000000000002</v>
      </c>
      <c r="AD18" s="78">
        <f t="shared" si="45"/>
        <v>5.5274794693619702</v>
      </c>
      <c r="AE18" s="22">
        <f t="shared" si="46"/>
        <v>259.99999999999994</v>
      </c>
      <c r="AF18" s="77">
        <f t="shared" si="9"/>
        <v>6.1538461538461551</v>
      </c>
      <c r="AG18" s="22">
        <f>[1]!CALC_DMG(AV18,V18,$D$2,P18)</f>
        <v>358</v>
      </c>
      <c r="AH18" s="77">
        <f t="shared" si="47"/>
        <v>4.4692737430167595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53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54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55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>
        <f t="shared" ref="W20:W21" si="59">CALC_DMG(AJ20,T20,$D$2, P20)</f>
        <v>185.84999999999997</v>
      </c>
      <c r="X20" s="79">
        <f t="shared" ref="X20:X21" si="60">K20/W20</f>
        <v>10.868980360505786</v>
      </c>
      <c r="Y20" s="12">
        <f>[1]!CALC_DMG(AV20,T20,$D$2, P20)</f>
        <v>308.7</v>
      </c>
      <c r="Z20" s="79">
        <f t="shared" ref="Z20:Z21" si="61">K20/Y20</f>
        <v>6.5435698088759313</v>
      </c>
      <c r="AA20" s="15">
        <f t="shared" ref="AA20:AA21" si="62">CALC_DMG(AJ20,U20,$D$2,P20)</f>
        <v>245.04999999999995</v>
      </c>
      <c r="AB20" s="78">
        <f t="shared" ref="AB20:AB21" si="63">L20/AA20</f>
        <v>7.9983676800652939</v>
      </c>
      <c r="AC20" s="15">
        <f>[1]!CALC_DMG(AV20,U20,$D$2,P20)</f>
        <v>367.9</v>
      </c>
      <c r="AD20" s="78">
        <f t="shared" ref="AD20:AD21" si="64">L20/AC20</f>
        <v>5.3275346561565646</v>
      </c>
      <c r="AE20" s="22">
        <f t="shared" ref="AE20:AE21" si="65">CALC_DMG(AJ20,V20,$D$2,P20)</f>
        <v>304.25</v>
      </c>
      <c r="AF20" s="77">
        <f t="shared" si="9"/>
        <v>6.2448644207066559</v>
      </c>
      <c r="AG20" s="22">
        <f>[1]!CALC_DMG(AV20,V20,$D$2,P20)</f>
        <v>427.1</v>
      </c>
      <c r="AH20" s="77">
        <f t="shared" ref="AH20:AH21" si="66">M20/AG20</f>
        <v>4.4486068836338095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72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73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74">AW20/BE20</f>
        <v>2.1357913669064748</v>
      </c>
    </row>
    <row r="21" spans="2:58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>
        <f t="shared" si="59"/>
        <v>209.99999999999989</v>
      </c>
      <c r="X21" s="79">
        <f t="shared" si="60"/>
        <v>13.809523809523817</v>
      </c>
      <c r="Y21" s="12">
        <f>[1]!CALC_DMG(AV21,T21,$D$2, P21)</f>
        <v>366</v>
      </c>
      <c r="Z21" s="79">
        <f t="shared" si="61"/>
        <v>7.9234972677595632</v>
      </c>
      <c r="AA21" s="15">
        <f t="shared" si="62"/>
        <v>284.99999999999994</v>
      </c>
      <c r="AB21" s="78">
        <f t="shared" si="63"/>
        <v>8.5964912280701764</v>
      </c>
      <c r="AC21" s="15">
        <f>[1]!CALC_DMG(AV21,U21,$D$2,P21)</f>
        <v>441</v>
      </c>
      <c r="AD21" s="78">
        <f t="shared" si="64"/>
        <v>5.5555555555555554</v>
      </c>
      <c r="AE21" s="22">
        <f t="shared" si="65"/>
        <v>360</v>
      </c>
      <c r="AF21" s="77">
        <f t="shared" si="9"/>
        <v>5.5555555555555554</v>
      </c>
      <c r="AG21" s="22">
        <f>[1]!CALC_DMG(AV21,V21,$D$2,P21)</f>
        <v>516</v>
      </c>
      <c r="AH21" s="77">
        <f t="shared" si="66"/>
        <v>3.8759689922480618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72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73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74"/>
        <v>2.3479980227385071</v>
      </c>
    </row>
    <row r="23" spans="2:58" ht="24" customHeight="1" x14ac:dyDescent="0.15">
      <c r="AU23" s="7" t="s">
        <v>235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237</v>
      </c>
      <c r="AV25" s="8">
        <v>0.9</v>
      </c>
      <c r="AW25" s="8">
        <v>0.9</v>
      </c>
      <c r="AX25" s="8">
        <v>1.75</v>
      </c>
    </row>
  </sheetData>
  <mergeCells count="12">
    <mergeCell ref="B13:B14"/>
    <mergeCell ref="B16:B18"/>
    <mergeCell ref="B20:B21"/>
    <mergeCell ref="D3:T3"/>
    <mergeCell ref="W3:Z3"/>
    <mergeCell ref="AJ3:AT4"/>
    <mergeCell ref="AV3:BF4"/>
    <mergeCell ref="B6:B7"/>
    <mergeCell ref="B8:B9"/>
    <mergeCell ref="B10:B12"/>
    <mergeCell ref="AE3:AH3"/>
    <mergeCell ref="AA3:AD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7" t="s">
        <v>46</v>
      </c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21"/>
      <c r="R3" s="21"/>
      <c r="S3" s="21"/>
      <c r="T3" s="21"/>
      <c r="V3" s="87" t="s">
        <v>52</v>
      </c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5" t="s">
        <v>57</v>
      </c>
      <c r="W4" s="85"/>
      <c r="X4" s="85"/>
      <c r="Y4" s="85"/>
      <c r="Z4" s="85"/>
      <c r="AA4" s="85"/>
      <c r="AB4" s="21"/>
      <c r="AC4" s="21"/>
      <c r="AD4" s="85" t="s">
        <v>59</v>
      </c>
      <c r="AE4" s="85"/>
      <c r="AF4" s="85"/>
      <c r="AG4" s="85"/>
      <c r="AH4" s="21"/>
      <c r="AI4" s="21"/>
      <c r="AJ4" s="21"/>
      <c r="AK4" s="21"/>
      <c r="AL4" s="85" t="s">
        <v>60</v>
      </c>
      <c r="AM4" s="85"/>
      <c r="AN4" s="85"/>
      <c r="AO4" s="85"/>
      <c r="AP4" s="85"/>
      <c r="AQ4" s="85"/>
      <c r="AR4" s="21"/>
      <c r="AS4" s="21"/>
      <c r="AT4" s="85" t="s">
        <v>61</v>
      </c>
      <c r="AU4" s="85"/>
      <c r="AV4" s="85"/>
      <c r="AW4" s="85"/>
      <c r="AX4" s="85"/>
      <c r="AY4" s="85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8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8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8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8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89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89"/>
    </row>
    <row r="12" spans="2:52" ht="24" customHeight="1" x14ac:dyDescent="0.15">
      <c r="B12" s="89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8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8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8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8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8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8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8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zoomScale="115" zoomScaleNormal="115" workbookViewId="0">
      <pane xSplit="1" topLeftCell="G1" activePane="topRight" state="frozen"/>
      <selection pane="topRight" activeCell="S10" sqref="S10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05" t="s">
        <v>96</v>
      </c>
      <c r="F1" s="105"/>
      <c r="G1" s="105"/>
      <c r="H1" s="105"/>
      <c r="I1" s="37" t="s">
        <v>158</v>
      </c>
      <c r="K1" s="106" t="s">
        <v>97</v>
      </c>
      <c r="L1" s="106"/>
      <c r="M1" s="106"/>
      <c r="N1" s="106"/>
      <c r="O1" s="38" t="s">
        <v>158</v>
      </c>
      <c r="Q1" s="107" t="s">
        <v>98</v>
      </c>
      <c r="R1" s="107"/>
      <c r="S1" s="107"/>
      <c r="T1" s="107"/>
      <c r="U1" s="39" t="s">
        <v>158</v>
      </c>
    </row>
    <row r="2" spans="1:21" ht="18" customHeight="1" x14ac:dyDescent="0.15">
      <c r="A2" s="40" t="s">
        <v>157</v>
      </c>
      <c r="B2" s="92" t="s">
        <v>156</v>
      </c>
      <c r="C2" s="92"/>
      <c r="D2" s="92"/>
      <c r="E2" s="104" t="s">
        <v>187</v>
      </c>
      <c r="F2" s="104"/>
      <c r="G2" s="104" t="s">
        <v>188</v>
      </c>
      <c r="H2" s="104"/>
      <c r="K2" s="104" t="s">
        <v>187</v>
      </c>
      <c r="L2" s="104"/>
      <c r="M2" s="104" t="s">
        <v>188</v>
      </c>
      <c r="N2" s="104"/>
      <c r="Q2" s="104" t="s">
        <v>187</v>
      </c>
      <c r="R2" s="104"/>
      <c r="S2" s="104" t="s">
        <v>188</v>
      </c>
      <c r="T2" s="104"/>
    </row>
    <row r="3" spans="1:21" ht="18" customHeight="1" x14ac:dyDescent="0.15">
      <c r="A3" s="41">
        <v>0.1</v>
      </c>
      <c r="B3" s="3" t="s">
        <v>101</v>
      </c>
      <c r="C3" s="3" t="s">
        <v>121</v>
      </c>
      <c r="D3" s="1"/>
      <c r="E3" s="93"/>
      <c r="F3" s="94"/>
      <c r="G3" s="94"/>
      <c r="H3" s="95"/>
      <c r="I3" s="102" t="s">
        <v>128</v>
      </c>
      <c r="K3" s="93"/>
      <c r="L3" s="94"/>
      <c r="M3" s="94"/>
      <c r="N3" s="95"/>
      <c r="O3" s="45" t="s">
        <v>128</v>
      </c>
      <c r="Q3" s="93"/>
      <c r="R3" s="94"/>
      <c r="S3" s="94"/>
      <c r="T3" s="95"/>
      <c r="U3" s="115" t="s">
        <v>155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96"/>
      <c r="F4" s="97"/>
      <c r="G4" s="97"/>
      <c r="H4" s="98"/>
      <c r="I4" s="103"/>
      <c r="K4" s="49" t="s">
        <v>132</v>
      </c>
      <c r="L4" s="49"/>
      <c r="M4" s="49" t="s">
        <v>133</v>
      </c>
      <c r="N4" s="47"/>
      <c r="O4" s="110">
        <v>0</v>
      </c>
      <c r="Q4" s="99"/>
      <c r="R4" s="100"/>
      <c r="S4" s="100"/>
      <c r="T4" s="101"/>
      <c r="U4" s="116"/>
    </row>
    <row r="5" spans="1:21" ht="18" customHeight="1" x14ac:dyDescent="0.15">
      <c r="A5" s="42">
        <v>1.2</v>
      </c>
      <c r="B5" s="3" t="s">
        <v>161</v>
      </c>
      <c r="C5" s="3" t="s">
        <v>103</v>
      </c>
      <c r="D5" s="3" t="s">
        <v>104</v>
      </c>
      <c r="E5" s="46"/>
      <c r="F5" s="46" t="s">
        <v>129</v>
      </c>
      <c r="G5" s="46" t="s">
        <v>130</v>
      </c>
      <c r="H5" s="48" t="s">
        <v>131</v>
      </c>
      <c r="I5" s="108">
        <v>0</v>
      </c>
      <c r="K5" s="48" t="s">
        <v>185</v>
      </c>
      <c r="L5" s="48"/>
      <c r="M5" s="48" t="s">
        <v>186</v>
      </c>
      <c r="N5" s="47"/>
      <c r="O5" s="110"/>
      <c r="Q5" s="99"/>
      <c r="R5" s="100"/>
      <c r="S5" s="100"/>
      <c r="T5" s="101"/>
      <c r="U5" s="116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159</v>
      </c>
      <c r="H6" s="47"/>
      <c r="I6" s="109"/>
      <c r="K6" s="48" t="s">
        <v>162</v>
      </c>
      <c r="L6" s="48"/>
      <c r="M6" s="48"/>
      <c r="N6" s="47"/>
      <c r="O6" s="110"/>
      <c r="Q6" s="96"/>
      <c r="R6" s="97"/>
      <c r="S6" s="97"/>
      <c r="T6" s="98"/>
      <c r="U6" s="116"/>
    </row>
    <row r="7" spans="1:21" ht="18" customHeight="1" x14ac:dyDescent="0.15">
      <c r="A7" s="42">
        <v>1.4</v>
      </c>
      <c r="B7" s="3" t="s">
        <v>106</v>
      </c>
      <c r="C7" s="3" t="s">
        <v>160</v>
      </c>
      <c r="D7" s="1"/>
      <c r="E7" s="51"/>
      <c r="F7" s="52"/>
      <c r="G7" s="51"/>
      <c r="H7" s="51" t="s">
        <v>238</v>
      </c>
      <c r="I7" s="121">
        <v>1</v>
      </c>
      <c r="K7" s="53" t="s">
        <v>240</v>
      </c>
      <c r="L7" s="53" t="s">
        <v>134</v>
      </c>
      <c r="M7" s="53" t="s">
        <v>242</v>
      </c>
      <c r="N7" s="53" t="s">
        <v>239</v>
      </c>
      <c r="O7" s="120">
        <v>1</v>
      </c>
      <c r="Q7" s="54"/>
      <c r="R7" s="54"/>
      <c r="S7" s="54" t="s">
        <v>152</v>
      </c>
      <c r="T7" s="51" t="s">
        <v>166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22"/>
      <c r="K8" s="53"/>
      <c r="L8" s="53" t="s">
        <v>136</v>
      </c>
      <c r="M8" s="53" t="s">
        <v>153</v>
      </c>
      <c r="N8" s="51"/>
      <c r="O8" s="120"/>
      <c r="Q8" s="33" t="s">
        <v>164</v>
      </c>
      <c r="R8" s="33"/>
      <c r="S8" s="33" t="s">
        <v>165</v>
      </c>
      <c r="T8" s="33" t="s">
        <v>189</v>
      </c>
      <c r="U8" s="117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168</v>
      </c>
      <c r="F9" s="50" t="s">
        <v>167</v>
      </c>
      <c r="G9" s="50" t="s">
        <v>137</v>
      </c>
      <c r="H9" s="50" t="s">
        <v>138</v>
      </c>
      <c r="I9" s="122"/>
      <c r="K9" s="51" t="s">
        <v>169</v>
      </c>
      <c r="L9" s="51"/>
      <c r="M9" s="51" t="s">
        <v>171</v>
      </c>
      <c r="N9" s="51" t="s">
        <v>172</v>
      </c>
      <c r="O9" s="120"/>
      <c r="Q9" s="33" t="s">
        <v>173</v>
      </c>
      <c r="R9" s="33"/>
      <c r="S9" s="33" t="s">
        <v>174</v>
      </c>
      <c r="T9" s="83" t="s">
        <v>163</v>
      </c>
      <c r="U9" s="118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241</v>
      </c>
      <c r="F10" s="56"/>
      <c r="G10" s="56"/>
      <c r="H10" s="56"/>
      <c r="I10" s="118">
        <v>2</v>
      </c>
      <c r="K10" s="57" t="s">
        <v>140</v>
      </c>
      <c r="L10" s="57"/>
      <c r="M10" s="57" t="s">
        <v>154</v>
      </c>
      <c r="N10" s="33" t="s">
        <v>139</v>
      </c>
      <c r="O10" s="117">
        <v>2</v>
      </c>
      <c r="Q10" s="33"/>
      <c r="R10" s="56"/>
      <c r="S10" s="56" t="s">
        <v>135</v>
      </c>
      <c r="T10" s="83" t="s">
        <v>170</v>
      </c>
      <c r="U10" s="119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141</v>
      </c>
      <c r="F11" s="55" t="s">
        <v>142</v>
      </c>
      <c r="G11" s="55" t="s">
        <v>143</v>
      </c>
      <c r="H11" s="55" t="s">
        <v>144</v>
      </c>
      <c r="I11" s="118"/>
      <c r="K11" s="33"/>
      <c r="L11" s="56"/>
      <c r="M11" s="33" t="s">
        <v>176</v>
      </c>
      <c r="N11" s="56"/>
      <c r="O11" s="119"/>
      <c r="Q11" s="61" t="s">
        <v>175</v>
      </c>
      <c r="R11" s="61"/>
      <c r="S11" s="61" t="s">
        <v>177</v>
      </c>
      <c r="T11" s="59"/>
      <c r="U11" s="123">
        <v>3</v>
      </c>
    </row>
    <row r="12" spans="1:21" ht="18" customHeight="1" x14ac:dyDescent="0.15">
      <c r="A12" s="65">
        <v>3.2</v>
      </c>
      <c r="B12" s="3" t="s">
        <v>114</v>
      </c>
      <c r="C12" s="3" t="s">
        <v>115</v>
      </c>
      <c r="D12" s="1"/>
      <c r="E12" s="33"/>
      <c r="F12" s="56"/>
      <c r="G12" s="33" t="s">
        <v>178</v>
      </c>
      <c r="H12" s="56"/>
      <c r="I12" s="118"/>
      <c r="K12" s="60"/>
      <c r="L12" s="60"/>
      <c r="M12" s="60" t="s">
        <v>179</v>
      </c>
      <c r="N12" s="60"/>
      <c r="O12" s="124">
        <v>3</v>
      </c>
      <c r="Q12" s="69" t="s">
        <v>151</v>
      </c>
      <c r="R12" s="59"/>
      <c r="S12" s="59"/>
      <c r="T12" s="59"/>
      <c r="U12" s="123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122</v>
      </c>
      <c r="E13" s="59" t="s">
        <v>181</v>
      </c>
      <c r="F13" s="59"/>
      <c r="G13" s="59"/>
      <c r="H13" s="59"/>
      <c r="I13" s="126">
        <v>3</v>
      </c>
      <c r="K13" s="60" t="s">
        <v>145</v>
      </c>
      <c r="L13" s="60" t="s">
        <v>146</v>
      </c>
      <c r="M13" s="61" t="s">
        <v>180</v>
      </c>
      <c r="N13" s="61" t="s">
        <v>182</v>
      </c>
      <c r="O13" s="125"/>
      <c r="Q13" s="28" t="s">
        <v>183</v>
      </c>
      <c r="R13" s="28" t="s">
        <v>184</v>
      </c>
      <c r="S13" s="63"/>
      <c r="T13" s="63"/>
      <c r="U13" s="114">
        <v>4</v>
      </c>
    </row>
    <row r="14" spans="1:21" ht="18" customHeight="1" x14ac:dyDescent="0.15">
      <c r="A14" s="44">
        <v>4.0999999999999996</v>
      </c>
      <c r="B14" s="3" t="s">
        <v>118</v>
      </c>
      <c r="C14" s="3" t="s">
        <v>119</v>
      </c>
      <c r="D14" s="1"/>
      <c r="E14" s="66" t="s">
        <v>148</v>
      </c>
      <c r="F14" s="58"/>
      <c r="G14" s="61"/>
      <c r="H14" s="59"/>
      <c r="I14" s="126"/>
      <c r="K14" s="62"/>
      <c r="L14" s="62"/>
      <c r="M14" s="28" t="s">
        <v>147</v>
      </c>
      <c r="N14" s="63"/>
      <c r="O14" s="112">
        <v>4</v>
      </c>
      <c r="Q14" s="67" t="s">
        <v>151</v>
      </c>
      <c r="R14" s="63"/>
      <c r="S14" s="63"/>
      <c r="T14" s="63"/>
      <c r="U14" s="114"/>
    </row>
    <row r="15" spans="1:21" ht="18" customHeight="1" x14ac:dyDescent="0.15">
      <c r="A15" s="44">
        <v>4.2</v>
      </c>
      <c r="B15" s="3" t="s">
        <v>120</v>
      </c>
      <c r="C15" s="3"/>
      <c r="D15" s="1"/>
      <c r="E15" s="58" t="s">
        <v>149</v>
      </c>
      <c r="F15" s="59"/>
      <c r="G15" s="59"/>
      <c r="H15" s="59"/>
      <c r="I15" s="125"/>
      <c r="K15" s="62"/>
      <c r="L15" s="63"/>
      <c r="M15" s="28" t="s">
        <v>150</v>
      </c>
      <c r="N15" s="63"/>
      <c r="O15" s="113"/>
      <c r="Q15" s="68" t="s">
        <v>151</v>
      </c>
      <c r="R15" s="64"/>
      <c r="S15" s="64"/>
      <c r="T15" s="64"/>
      <c r="U15" s="44">
        <v>5</v>
      </c>
    </row>
    <row r="18" spans="2:8" ht="18" customHeight="1" x14ac:dyDescent="0.15">
      <c r="C18" s="111" t="s">
        <v>99</v>
      </c>
      <c r="D18" s="111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123</v>
      </c>
      <c r="C20" s="3">
        <v>1.2</v>
      </c>
      <c r="D20" s="3">
        <v>1.1000000000000001</v>
      </c>
      <c r="E20" s="7" t="s">
        <v>190</v>
      </c>
      <c r="F20" s="7" t="s">
        <v>191</v>
      </c>
      <c r="G20" s="7" t="s">
        <v>192</v>
      </c>
    </row>
    <row r="21" spans="2:8" ht="18" customHeight="1" x14ac:dyDescent="0.15">
      <c r="B21" s="3" t="s">
        <v>124</v>
      </c>
      <c r="C21" s="1">
        <v>2.1</v>
      </c>
      <c r="D21" s="1">
        <v>1.4</v>
      </c>
      <c r="E21" s="7" t="s">
        <v>194</v>
      </c>
      <c r="F21" s="7" t="s">
        <v>195</v>
      </c>
      <c r="G21" s="7" t="s">
        <v>196</v>
      </c>
      <c r="H21" s="7" t="s">
        <v>193</v>
      </c>
    </row>
    <row r="22" spans="2:8" ht="18" customHeight="1" x14ac:dyDescent="0.15">
      <c r="B22" s="3" t="s">
        <v>125</v>
      </c>
      <c r="C22" s="1">
        <v>3.1</v>
      </c>
      <c r="D22" s="1">
        <v>2.2999999999999998</v>
      </c>
      <c r="E22" s="7" t="s">
        <v>198</v>
      </c>
      <c r="F22" s="7" t="s">
        <v>199</v>
      </c>
      <c r="G22" s="7" t="s">
        <v>197</v>
      </c>
    </row>
    <row r="23" spans="2:8" ht="18" customHeight="1" x14ac:dyDescent="0.15">
      <c r="B23" s="3" t="s">
        <v>126</v>
      </c>
      <c r="C23" s="1">
        <v>4.0999999999999996</v>
      </c>
      <c r="D23" s="1">
        <v>3.3</v>
      </c>
      <c r="E23" s="7" t="s">
        <v>151</v>
      </c>
      <c r="F23" s="7" t="s">
        <v>151</v>
      </c>
    </row>
    <row r="24" spans="2:8" ht="18" customHeight="1" x14ac:dyDescent="0.15">
      <c r="B24" s="3" t="s">
        <v>127</v>
      </c>
      <c r="C24" s="1">
        <v>4.2</v>
      </c>
      <c r="D24" s="3" t="s">
        <v>128</v>
      </c>
      <c r="E24" s="7" t="s">
        <v>151</v>
      </c>
      <c r="F24" s="7" t="s">
        <v>151</v>
      </c>
    </row>
    <row r="27" spans="2:8" ht="18" customHeight="1" x14ac:dyDescent="0.15">
      <c r="B27" s="5" t="s">
        <v>200</v>
      </c>
    </row>
    <row r="28" spans="2:8" ht="18" customHeight="1" x14ac:dyDescent="0.15">
      <c r="B28" s="5" t="s">
        <v>201</v>
      </c>
      <c r="C28" s="5" t="s">
        <v>202</v>
      </c>
      <c r="D28" s="7" t="s">
        <v>203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151</v>
      </c>
      <c r="F35" s="70"/>
    </row>
  </sheetData>
  <mergeCells count="28">
    <mergeCell ref="C18:D18"/>
    <mergeCell ref="O14:O15"/>
    <mergeCell ref="U13:U14"/>
    <mergeCell ref="U3:U6"/>
    <mergeCell ref="U8:U10"/>
    <mergeCell ref="O7:O9"/>
    <mergeCell ref="I7:I9"/>
    <mergeCell ref="U11:U12"/>
    <mergeCell ref="O10:O11"/>
    <mergeCell ref="O12:O13"/>
    <mergeCell ref="I10:I12"/>
    <mergeCell ref="I13:I15"/>
    <mergeCell ref="E1:H1"/>
    <mergeCell ref="K1:N1"/>
    <mergeCell ref="Q1:T1"/>
    <mergeCell ref="I5:I6"/>
    <mergeCell ref="O4:O6"/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3" t="s">
        <v>0</v>
      </c>
      <c r="B1" s="133"/>
      <c r="C1" s="133"/>
      <c r="D1" s="133"/>
      <c r="E1" s="133"/>
      <c r="G1" s="133" t="s">
        <v>42</v>
      </c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0">
        <f>D10+D11+D12+D13</f>
        <v>2</v>
      </c>
      <c r="G10" s="111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0">
        <f>L10+L11+L12+L13+L14+L15+L16</f>
        <v>3.5</v>
      </c>
      <c r="O10" s="111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4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1"/>
      <c r="G11" s="111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1"/>
      <c r="O11" s="111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5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1"/>
      <c r="G12" s="111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1"/>
      <c r="O12" s="111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6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2"/>
      <c r="G13" s="111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1"/>
      <c r="O13" s="111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0">
        <f>D10+D11+D12+D14+D15</f>
        <v>3.09375</v>
      </c>
      <c r="G14" s="111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1"/>
      <c r="O14" s="111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2"/>
      <c r="G15" s="111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1"/>
      <c r="O15" s="111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2"/>
      <c r="O16" s="111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4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5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6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4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6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7" t="s">
        <v>43</v>
      </c>
      <c r="B30" s="128"/>
      <c r="C30" s="128"/>
      <c r="D30" s="128"/>
      <c r="E30" s="128"/>
      <c r="F30" s="129"/>
      <c r="G30" s="4"/>
      <c r="I30" s="137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0">
        <f>D32+D33+D34+D35</f>
        <v>2.8634999999999997</v>
      </c>
      <c r="G32" s="111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0">
        <f>L32+L33+L34+L35+L36+L37+L38</f>
        <v>4.4731499999999995</v>
      </c>
      <c r="O32" s="111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1"/>
      <c r="G33" s="111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1"/>
      <c r="O33" s="111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1"/>
      <c r="G34" s="111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1"/>
      <c r="O34" s="111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2"/>
      <c r="G35" s="111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1"/>
      <c r="O35" s="111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0">
        <f>D32+D33+D34+D36+D37</f>
        <v>4.2640000000000002</v>
      </c>
      <c r="G36" s="111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1"/>
      <c r="O36" s="111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2"/>
      <c r="G37" s="111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1"/>
      <c r="O37" s="111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2"/>
      <c r="O38" s="111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4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5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6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4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6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2026-05-09T10:37:19Z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