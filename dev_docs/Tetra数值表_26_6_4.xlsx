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6CEEFF9F-B23B-4076-B1EF-49F5A1DDC471}" xr6:coauthVersionLast="47" xr6:coauthVersionMax="47" xr10:uidLastSave="{00000000-0000-0000-0000-000000000000}"/>
  <bookViews>
    <workbookView xWindow="3390" yWindow="3405" windowWidth="26430" windowHeight="15435" xr2:uid="{00000000-000D-0000-FFFF-FFFF00000000}"/>
  </bookViews>
  <sheets>
    <sheet name="材料" sheetId="1" r:id="rId1"/>
    <sheet name="特殊材料" sheetId="5" r:id="rId2"/>
    <sheet name="Sheet1" sheetId="4" r:id="rId3"/>
    <sheet name="SA" sheetId="2" r:id="rId4"/>
    <sheet name="护甲" sheetId="3" r:id="rId5"/>
  </sheets>
  <calcPr calcId="191029"/>
</workbook>
</file>

<file path=xl/calcChain.xml><?xml version="1.0" encoding="utf-8"?>
<calcChain xmlns="http://schemas.openxmlformats.org/spreadsheetml/2006/main">
  <c r="M14" i="5" l="1"/>
  <c r="L14" i="5"/>
  <c r="J14" i="5"/>
  <c r="I14" i="5"/>
  <c r="K14" i="5" l="1"/>
  <c r="M13" i="5"/>
  <c r="L13" i="5"/>
  <c r="M12" i="5"/>
  <c r="L12" i="5"/>
  <c r="M11" i="5"/>
  <c r="L11" i="5"/>
  <c r="I7" i="5"/>
  <c r="I6" i="5"/>
  <c r="J6" i="5" s="1"/>
  <c r="I5" i="5"/>
  <c r="I4" i="5"/>
  <c r="K3" i="5" s="1"/>
  <c r="I3" i="5"/>
  <c r="I2" i="5"/>
  <c r="N114" i="1"/>
  <c r="M114" i="1"/>
  <c r="N113" i="1"/>
  <c r="M113" i="1"/>
  <c r="N102" i="1"/>
  <c r="M102" i="1"/>
  <c r="N101" i="1"/>
  <c r="M101" i="1"/>
  <c r="N107" i="1"/>
  <c r="M107" i="1"/>
  <c r="N108" i="1"/>
  <c r="M108" i="1"/>
  <c r="N100" i="1"/>
  <c r="M100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J2" i="5" l="1"/>
  <c r="J3" i="5"/>
  <c r="J11" i="5"/>
  <c r="I11" i="5"/>
  <c r="I12" i="5"/>
  <c r="J12" i="5"/>
  <c r="J13" i="5"/>
  <c r="I13" i="5"/>
  <c r="K2" i="5"/>
  <c r="M91" i="1"/>
  <c r="N91" i="1"/>
  <c r="M85" i="1"/>
  <c r="N85" i="1"/>
  <c r="M62" i="1"/>
  <c r="N62" i="1"/>
  <c r="K13" i="5" l="1"/>
  <c r="K11" i="5"/>
  <c r="K12" i="5"/>
  <c r="O13" i="3"/>
  <c r="O12" i="3"/>
  <c r="O11" i="3"/>
  <c r="Q67" i="3" s="1"/>
  <c r="O10" i="3"/>
  <c r="Q17" i="3" s="1"/>
  <c r="O8" i="3"/>
  <c r="Q43" i="3" s="1"/>
  <c r="O7" i="3"/>
  <c r="Q7" i="3" s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2" i="1"/>
  <c r="M112" i="1"/>
  <c r="N111" i="1"/>
  <c r="M111" i="1"/>
  <c r="N110" i="1"/>
  <c r="M110" i="1"/>
  <c r="N109" i="1"/>
  <c r="M109" i="1"/>
  <c r="N106" i="1"/>
  <c r="M106" i="1"/>
  <c r="N105" i="1"/>
  <c r="M105" i="1"/>
  <c r="N104" i="1"/>
  <c r="M104" i="1"/>
  <c r="N103" i="1"/>
  <c r="M103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I4" i="1"/>
  <c r="I6" i="1"/>
  <c r="I3" i="1"/>
  <c r="I2" i="1"/>
  <c r="K113" i="1" l="1"/>
  <c r="K114" i="1"/>
  <c r="K108" i="1"/>
  <c r="J113" i="1"/>
  <c r="L113" i="1" s="1"/>
  <c r="J114" i="1"/>
  <c r="L114" i="1" s="1"/>
  <c r="K102" i="1"/>
  <c r="K101" i="1"/>
  <c r="J102" i="1"/>
  <c r="L102" i="1" s="1"/>
  <c r="J101" i="1"/>
  <c r="L101" i="1" s="1"/>
  <c r="J107" i="1"/>
  <c r="K107" i="1"/>
  <c r="J100" i="1"/>
  <c r="J108" i="1"/>
  <c r="L108" i="1" s="1"/>
  <c r="K100" i="1"/>
  <c r="L100" i="1" s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6" i="1"/>
  <c r="J62" i="1"/>
  <c r="K151" i="1"/>
  <c r="J3" i="1"/>
  <c r="J6" i="1"/>
  <c r="K22" i="1"/>
  <c r="K74" i="1"/>
  <c r="K27" i="1"/>
  <c r="J13" i="1"/>
  <c r="J67" i="1"/>
  <c r="J42" i="1"/>
  <c r="K97" i="1"/>
  <c r="J152" i="1"/>
  <c r="K18" i="1"/>
  <c r="J77" i="1"/>
  <c r="J157" i="1"/>
  <c r="K157" i="1"/>
  <c r="K138" i="1"/>
  <c r="K14" i="1"/>
  <c r="J153" i="1"/>
  <c r="K139" i="1"/>
  <c r="J144" i="1"/>
  <c r="K163" i="1"/>
  <c r="J15" i="1"/>
  <c r="K34" i="1"/>
  <c r="J39" i="1"/>
  <c r="K58" i="1"/>
  <c r="J64" i="1"/>
  <c r="J72" i="1"/>
  <c r="K95" i="1"/>
  <c r="K120" i="1"/>
  <c r="J125" i="1"/>
  <c r="K144" i="1"/>
  <c r="J149" i="1"/>
  <c r="J53" i="1"/>
  <c r="K134" i="1"/>
  <c r="J154" i="1"/>
  <c r="K20" i="1"/>
  <c r="J25" i="1"/>
  <c r="K44" i="1"/>
  <c r="J49" i="1"/>
  <c r="J82" i="1"/>
  <c r="K104" i="1"/>
  <c r="K130" i="1"/>
  <c r="J135" i="1"/>
  <c r="K154" i="1"/>
  <c r="J159" i="1"/>
  <c r="J63" i="1"/>
  <c r="K143" i="1"/>
  <c r="K159" i="1"/>
  <c r="J27" i="1"/>
  <c r="J51" i="1"/>
  <c r="J137" i="1"/>
  <c r="J118" i="1"/>
  <c r="K56" i="1"/>
  <c r="J97" i="1"/>
  <c r="J147" i="1"/>
  <c r="K147" i="1"/>
  <c r="J23" i="1"/>
  <c r="K42" i="1"/>
  <c r="J28" i="1"/>
  <c r="J52" i="1"/>
  <c r="J112" i="1"/>
  <c r="K133" i="1"/>
  <c r="K52" i="1"/>
  <c r="K112" i="1"/>
  <c r="K119" i="1"/>
  <c r="J2" i="1"/>
  <c r="J24" i="1"/>
  <c r="K81" i="1"/>
  <c r="J134" i="1"/>
  <c r="J115" i="1"/>
  <c r="K46" i="1"/>
  <c r="K132" i="1"/>
  <c r="K137" i="1"/>
  <c r="J37" i="1"/>
  <c r="J61" i="1"/>
  <c r="K87" i="1"/>
  <c r="J123" i="1"/>
  <c r="K142" i="1"/>
  <c r="J70" i="1"/>
  <c r="J103" i="1"/>
  <c r="J47" i="1"/>
  <c r="K70" i="1"/>
  <c r="J106" i="1"/>
  <c r="K128" i="1"/>
  <c r="J138" i="1"/>
  <c r="J57" i="1"/>
  <c r="J94" i="1"/>
  <c r="J14" i="1"/>
  <c r="K33" i="1"/>
  <c r="K94" i="1"/>
  <c r="J148" i="1"/>
  <c r="J19" i="1"/>
  <c r="K38" i="1"/>
  <c r="K63" i="1"/>
  <c r="K124" i="1"/>
  <c r="J129" i="1"/>
  <c r="J48" i="1"/>
  <c r="J109" i="1"/>
  <c r="K129" i="1"/>
  <c r="K24" i="1"/>
  <c r="K78" i="1"/>
  <c r="J58" i="1"/>
  <c r="J120" i="1"/>
  <c r="K15" i="1"/>
  <c r="J44" i="1"/>
  <c r="K64" i="1"/>
  <c r="J130" i="1"/>
  <c r="J140" i="1"/>
  <c r="J35" i="1"/>
  <c r="K54" i="1"/>
  <c r="K90" i="1"/>
  <c r="J121" i="1"/>
  <c r="K11" i="1"/>
  <c r="J16" i="1"/>
  <c r="K35" i="1"/>
  <c r="J40" i="1"/>
  <c r="K59" i="1"/>
  <c r="J65" i="1"/>
  <c r="J69" i="1"/>
  <c r="K80" i="1"/>
  <c r="J98" i="1"/>
  <c r="K121" i="1"/>
  <c r="J126" i="1"/>
  <c r="K145" i="1"/>
  <c r="J150" i="1"/>
  <c r="J161" i="1"/>
  <c r="J32" i="1"/>
  <c r="K51" i="1"/>
  <c r="K84" i="1"/>
  <c r="K111" i="1"/>
  <c r="K161" i="1"/>
  <c r="K37" i="1"/>
  <c r="K61" i="1"/>
  <c r="K123" i="1"/>
  <c r="K47" i="1"/>
  <c r="K106" i="1"/>
  <c r="J162" i="1"/>
  <c r="J33" i="1"/>
  <c r="K162" i="1"/>
  <c r="K57" i="1"/>
  <c r="J43" i="1"/>
  <c r="J78" i="1"/>
  <c r="K153" i="1"/>
  <c r="K158" i="1"/>
  <c r="K29" i="1"/>
  <c r="K82" i="1"/>
  <c r="J11" i="1"/>
  <c r="K16" i="1"/>
  <c r="J21" i="1"/>
  <c r="K40" i="1"/>
  <c r="J45" i="1"/>
  <c r="K65" i="1"/>
  <c r="K69" i="1"/>
  <c r="J73" i="1"/>
  <c r="K98" i="1"/>
  <c r="J105" i="1"/>
  <c r="K126" i="1"/>
  <c r="J131" i="1"/>
  <c r="K150" i="1"/>
  <c r="J155" i="1"/>
  <c r="J84" i="1"/>
  <c r="J111" i="1"/>
  <c r="J56" i="1"/>
  <c r="J87" i="1"/>
  <c r="J142" i="1"/>
  <c r="K32" i="1"/>
  <c r="K118" i="1"/>
  <c r="K13" i="1"/>
  <c r="K67" i="1"/>
  <c r="J128" i="1"/>
  <c r="K103" i="1"/>
  <c r="J133" i="1"/>
  <c r="K28" i="1"/>
  <c r="J119" i="1"/>
  <c r="J38" i="1"/>
  <c r="J68" i="1"/>
  <c r="J124" i="1"/>
  <c r="K68" i="1"/>
  <c r="K19" i="1"/>
  <c r="K43" i="1"/>
  <c r="J29" i="1"/>
  <c r="J139" i="1"/>
  <c r="J34" i="1"/>
  <c r="J95" i="1"/>
  <c r="K115" i="1"/>
  <c r="J20" i="1"/>
  <c r="K135" i="1"/>
  <c r="K30" i="1"/>
  <c r="J59" i="1"/>
  <c r="J80" i="1"/>
  <c r="K116" i="1"/>
  <c r="K140" i="1"/>
  <c r="J145" i="1"/>
  <c r="K21" i="1"/>
  <c r="J26" i="1"/>
  <c r="K45" i="1"/>
  <c r="J50" i="1"/>
  <c r="K73" i="1"/>
  <c r="J83" i="1"/>
  <c r="K105" i="1"/>
  <c r="J110" i="1"/>
  <c r="K131" i="1"/>
  <c r="J136" i="1"/>
  <c r="K155" i="1"/>
  <c r="J160" i="1"/>
  <c r="K53" i="1"/>
  <c r="K39" i="1"/>
  <c r="K125" i="1"/>
  <c r="J54" i="1"/>
  <c r="J90" i="1"/>
  <c r="J116" i="1"/>
  <c r="K83" i="1"/>
  <c r="K160" i="1"/>
  <c r="K156" i="1"/>
  <c r="J18" i="1"/>
  <c r="K152" i="1"/>
  <c r="K23" i="1"/>
  <c r="K77" i="1"/>
  <c r="J143" i="1"/>
  <c r="J81" i="1"/>
  <c r="K148" i="1"/>
  <c r="J158" i="1"/>
  <c r="K48" i="1"/>
  <c r="K109" i="1"/>
  <c r="J163" i="1"/>
  <c r="J30" i="1"/>
  <c r="J36" i="1"/>
  <c r="J60" i="1"/>
  <c r="K92" i="1"/>
  <c r="J96" i="1"/>
  <c r="K117" i="1"/>
  <c r="J122" i="1"/>
  <c r="K141" i="1"/>
  <c r="J146" i="1"/>
  <c r="K72" i="1"/>
  <c r="J104" i="1"/>
  <c r="K149" i="1"/>
  <c r="J55" i="1"/>
  <c r="J92" i="1"/>
  <c r="J117" i="1"/>
  <c r="K136" i="1"/>
  <c r="J12" i="1"/>
  <c r="K55" i="1"/>
  <c r="J66" i="1"/>
  <c r="K12" i="1"/>
  <c r="J17" i="1"/>
  <c r="K36" i="1"/>
  <c r="J41" i="1"/>
  <c r="K60" i="1"/>
  <c r="K66" i="1"/>
  <c r="J93" i="1"/>
  <c r="K96" i="1"/>
  <c r="J99" i="1"/>
  <c r="K122" i="1"/>
  <c r="J127" i="1"/>
  <c r="K146" i="1"/>
  <c r="J151" i="1"/>
  <c r="K25" i="1"/>
  <c r="K49" i="1"/>
  <c r="K26" i="1"/>
  <c r="J31" i="1"/>
  <c r="K50" i="1"/>
  <c r="K110" i="1"/>
  <c r="J141" i="1"/>
  <c r="K31" i="1"/>
  <c r="K17" i="1"/>
  <c r="J22" i="1"/>
  <c r="K41" i="1"/>
  <c r="J46" i="1"/>
  <c r="K93" i="1"/>
  <c r="J74" i="1"/>
  <c r="K99" i="1"/>
  <c r="K127" i="1"/>
  <c r="J132" i="1"/>
  <c r="L145" i="1" l="1"/>
  <c r="L107" i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3" i="1"/>
  <c r="L86" i="1"/>
  <c r="L146" i="1"/>
  <c r="L89" i="1"/>
  <c r="L151" i="1"/>
  <c r="L71" i="1"/>
  <c r="L26" i="1"/>
  <c r="L38" i="1"/>
  <c r="L45" i="1"/>
  <c r="L25" i="1"/>
  <c r="L120" i="1"/>
  <c r="L141" i="1"/>
  <c r="L53" i="1"/>
  <c r="L143" i="1"/>
  <c r="L32" i="1"/>
  <c r="L92" i="1"/>
  <c r="L22" i="1"/>
  <c r="L117" i="1"/>
  <c r="L156" i="1"/>
  <c r="L59" i="1"/>
  <c r="L57" i="1"/>
  <c r="L124" i="1"/>
  <c r="L82" i="1"/>
  <c r="L46" i="1"/>
  <c r="L158" i="1"/>
  <c r="L49" i="1"/>
  <c r="L95" i="1"/>
  <c r="L144" i="1"/>
  <c r="L18" i="1"/>
  <c r="L125" i="1"/>
  <c r="L17" i="1"/>
  <c r="L73" i="1"/>
  <c r="L138" i="1"/>
  <c r="L83" i="1"/>
  <c r="L140" i="1"/>
  <c r="L153" i="1"/>
  <c r="L122" i="1"/>
  <c r="L135" i="1"/>
  <c r="L41" i="1"/>
  <c r="L105" i="1"/>
  <c r="L121" i="1"/>
  <c r="L14" i="1"/>
  <c r="L74" i="1"/>
  <c r="L163" i="1"/>
  <c r="L110" i="1"/>
  <c r="L30" i="1"/>
  <c r="L136" i="1"/>
  <c r="L24" i="1"/>
  <c r="L39" i="1"/>
  <c r="L15" i="1"/>
  <c r="L13" i="1"/>
  <c r="L42" i="1"/>
  <c r="L132" i="1"/>
  <c r="L36" i="1"/>
  <c r="L160" i="1"/>
  <c r="L29" i="1"/>
  <c r="L33" i="1"/>
  <c r="L148" i="1"/>
  <c r="L134" i="1"/>
  <c r="L63" i="1"/>
  <c r="L64" i="1"/>
  <c r="L93" i="1"/>
  <c r="L131" i="1"/>
  <c r="L162" i="1"/>
  <c r="L16" i="1"/>
  <c r="L159" i="1"/>
  <c r="L94" i="1"/>
  <c r="L66" i="1"/>
  <c r="L119" i="1"/>
  <c r="L112" i="1"/>
  <c r="L44" i="1"/>
  <c r="L58" i="1"/>
  <c r="L23" i="1"/>
  <c r="L31" i="1"/>
  <c r="L150" i="1"/>
  <c r="L109" i="1"/>
  <c r="L48" i="1"/>
  <c r="L118" i="1"/>
  <c r="L67" i="1"/>
  <c r="L35" i="1"/>
  <c r="L81" i="1"/>
  <c r="L161" i="1"/>
  <c r="L123" i="1"/>
  <c r="L68" i="1"/>
  <c r="L106" i="1"/>
  <c r="L12" i="1"/>
  <c r="L28" i="1"/>
  <c r="L157" i="1"/>
  <c r="L128" i="1"/>
  <c r="L154" i="1"/>
  <c r="L37" i="1"/>
  <c r="L98" i="1"/>
  <c r="L20" i="1"/>
  <c r="L54" i="1"/>
  <c r="L111" i="1"/>
  <c r="L43" i="1"/>
  <c r="L65" i="1"/>
  <c r="L27" i="1"/>
  <c r="L130" i="1"/>
  <c r="L47" i="1"/>
  <c r="L133" i="1"/>
  <c r="L70" i="1"/>
  <c r="L77" i="1"/>
  <c r="L104" i="1"/>
  <c r="L147" i="1"/>
  <c r="L61" i="1"/>
  <c r="L142" i="1"/>
  <c r="L78" i="1"/>
  <c r="L137" i="1"/>
  <c r="L69" i="1"/>
  <c r="L51" i="1"/>
  <c r="L34" i="1"/>
  <c r="L84" i="1"/>
  <c r="L115" i="1"/>
  <c r="L52" i="1"/>
  <c r="L11" i="1"/>
  <c r="L55" i="1"/>
  <c r="L152" i="1"/>
  <c r="L126" i="1"/>
  <c r="L97" i="1"/>
  <c r="L149" i="1"/>
  <c r="L116" i="1"/>
  <c r="L90" i="1"/>
  <c r="L87" i="1"/>
  <c r="L129" i="1"/>
  <c r="L127" i="1"/>
  <c r="L56" i="1"/>
  <c r="L99" i="1"/>
  <c r="L60" i="1"/>
  <c r="L139" i="1"/>
  <c r="L155" i="1"/>
  <c r="L40" i="1"/>
  <c r="L19" i="1"/>
  <c r="L72" i="1"/>
  <c r="S38" i="3" l="1"/>
</calcChain>
</file>

<file path=xl/sharedStrings.xml><?xml version="1.0" encoding="utf-8"?>
<sst xmlns="http://schemas.openxmlformats.org/spreadsheetml/2006/main" count="835" uniqueCount="496">
  <si>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</si>
  <si>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</si>
  <si>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</si>
  <si>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</si>
  <si>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</si>
  <si>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</si>
  <si>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</si>
  <si>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</si>
  <si>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</si>
  <si>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</si>
  <si>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</si>
  <si>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</si>
  <si>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</si>
  <si>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</si>
  <si>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</si>
  <si>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</si>
  <si>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</si>
  <si>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</si>
  <si>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</si>
  <si>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</si>
  <si>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</si>
  <si>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</si>
  <si>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</si>
  <si>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</si>
  <si>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</si>
  <si>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</si>
  <si>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</si>
  <si>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</si>
  <si>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</si>
  <si>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</si>
  <si>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</si>
  <si>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</si>
  <si>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</si>
  <si>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</si>
  <si>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</si>
  <si>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</si>
  <si>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</si>
  <si>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</si>
  <si>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</si>
  <si>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</si>
  <si>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</si>
  <si>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</si>
  <si>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</si>
  <si>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</si>
  <si>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</si>
  <si>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</si>
  <si>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</si>
  <si>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</si>
  <si>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</si>
  <si>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</si>
  <si>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</si>
  <si>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</si>
  <si>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</si>
  <si>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</si>
  <si>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</si>
  <si>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</si>
  <si>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</si>
  <si>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</si>
  <si>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</si>
  <si>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</si>
  <si>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</si>
  <si>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</si>
  <si>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</si>
  <si>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</si>
  <si>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</si>
  <si>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</si>
  <si>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</si>
  <si>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</si>
  <si>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</si>
  <si>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</si>
  <si>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</si>
  <si>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</si>
  <si>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</si>
  <si>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</si>
  <si>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</si>
  <si>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</si>
  <si>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</si>
  <si>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</si>
  <si>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</si>
  <si>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</si>
  <si>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</si>
  <si>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</si>
  <si>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</si>
  <si>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</si>
  <si>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</si>
  <si>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</si>
  <si>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</si>
  <si>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</si>
  <si>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</si>
  <si>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</si>
  <si>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</si>
  <si>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</si>
  <si>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</si>
  <si>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</si>
  <si>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</si>
  <si>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</si>
  <si>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</si>
  <si>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</si>
  <si>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</si>
  <si>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</si>
  <si>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</si>
  <si>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</si>
  <si>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</si>
  <si>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</si>
  <si>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</si>
  <si>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</si>
  <si>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</si>
  <si>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</si>
  <si>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</si>
  <si>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</si>
  <si>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</si>
  <si>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</si>
  <si>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</si>
  <si>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</si>
  <si>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</si>
  <si>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</si>
  <si>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</si>
  <si>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</si>
  <si>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</si>
  <si>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</si>
  <si>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</si>
  <si>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</si>
  <si>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</si>
  <si>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</si>
  <si>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</si>
  <si>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</si>
  <si>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</si>
  <si>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</si>
  <si>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</si>
  <si>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</si>
  <si>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</si>
  <si>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</si>
  <si>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</si>
  <si>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</si>
  <si>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</si>
  <si>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</si>
  <si>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</si>
  <si>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</si>
  <si>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</si>
  <si>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</si>
  <si>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</si>
  <si>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</si>
  <si>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</si>
  <si>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</si>
  <si>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</si>
  <si>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</si>
  <si>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</si>
  <si>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</si>
  <si>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</si>
  <si>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</si>
  <si>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</si>
  <si>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</si>
  <si>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</si>
  <si>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</si>
  <si>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</si>
  <si>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</si>
  <si>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</si>
  <si>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</si>
  <si>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</si>
  <si>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</si>
  <si>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</si>
  <si>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</si>
  <si>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</si>
  <si>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</si>
  <si>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</si>
  <si>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</si>
  <si>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</si>
  <si>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</si>
  <si>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</si>
  <si>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</si>
  <si>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</si>
  <si>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</si>
  <si>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</si>
  <si>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</si>
  <si>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</si>
  <si>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</si>
  <si>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</si>
  <si>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</si>
  <si>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</si>
  <si>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</si>
  <si>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</si>
  <si>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</si>
  <si>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</si>
  <si>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</si>
  <si>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</si>
  <si>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</si>
  <si>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</si>
  <si>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</si>
  <si>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</si>
  <si>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</si>
  <si>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</si>
  <si>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</si>
  <si>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</si>
  <si>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</si>
  <si>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</si>
  <si>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</si>
  <si>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</si>
  <si>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</si>
  <si>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</si>
  <si>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</si>
  <si>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</si>
  <si>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</si>
  <si>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</si>
  <si>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</si>
  <si>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</si>
  <si>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</si>
  <si>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</si>
  <si>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</si>
  <si>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</si>
  <si>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</si>
  <si>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</si>
  <si>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</si>
  <si>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</si>
  <si>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</si>
  <si>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</si>
  <si>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</si>
  <si>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</si>
  <si>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</si>
  <si>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</si>
  <si>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</si>
  <si>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</si>
  <si>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</si>
  <si>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</si>
  <si>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</si>
  <si>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</si>
  <si>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</si>
  <si>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</si>
  <si>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</si>
  <si>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</si>
  <si>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</si>
  <si>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</si>
  <si>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</si>
  <si>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</si>
  <si>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</si>
  <si>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</si>
  <si>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</si>
  <si>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</si>
  <si>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</si>
  <si>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</si>
  <si>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</si>
  <si>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</si>
  <si>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</si>
  <si>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</si>
  <si>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</si>
  <si>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</si>
  <si>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</si>
  <si>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</si>
  <si>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</si>
  <si>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</si>
  <si>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</si>
  <si>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</si>
  <si>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</si>
  <si>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</si>
  <si>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</si>
  <si>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</si>
  <si>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</si>
  <si>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</si>
  <si>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</si>
  <si>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</si>
  <si>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</si>
  <si>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</si>
  <si>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</si>
  <si>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</si>
  <si>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</si>
  <si>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</si>
  <si>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</si>
  <si>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</si>
  <si>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</si>
  <si>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</si>
  <si>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</si>
  <si>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</si>
  <si>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</si>
  <si>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</si>
  <si>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</si>
  <si>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</si>
  <si>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</si>
  <si>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</si>
  <si>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</si>
  <si>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</si>
  <si>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</si>
  <si>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</si>
  <si>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</si>
  <si>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</si>
  <si>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</si>
  <si>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</si>
  <si>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</si>
  <si>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</si>
  <si>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</si>
  <si>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</si>
  <si>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</si>
  <si>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</si>
  <si>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</si>
  <si>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</si>
  <si>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</si>
  <si>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</si>
  <si>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</si>
  <si>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</si>
  <si>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</si>
  <si>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</si>
  <si>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</si>
  <si>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</si>
  <si>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发狂抵抗+5</t>
    <phoneticPr fontId="1" type="noConversion"/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</si>
  <si>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</si>
  <si>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</si>
  <si>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</si>
  <si>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</si>
  <si>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</si>
  <si>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</si>
  <si>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</si>
  <si>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</si>
  <si>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</si>
  <si>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</si>
  <si>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</si>
  <si>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</si>
  <si>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</si>
  <si>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</si>
  <si>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</si>
  <si>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</si>
  <si>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</si>
  <si>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</si>
  <si>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</si>
  <si>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</si>
  <si>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</si>
  <si>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</si>
  <si>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</si>
  <si>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</si>
  <si>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</si>
  <si>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</si>
  <si>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</si>
  <si>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</si>
  <si>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</si>
  <si>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</si>
  <si>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</si>
  <si>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</si>
  <si>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</si>
  <si>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</si>
  <si>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</si>
  <si>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</si>
  <si>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</si>
  <si>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</si>
  <si>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</si>
  <si>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</si>
  <si>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</si>
  <si>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</si>
  <si>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</si>
  <si>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</si>
  <si>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</si>
  <si>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</si>
  <si>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</si>
  <si>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</si>
  <si>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</si>
  <si>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</si>
  <si>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</si>
  <si>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</si>
  <si>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</si>
  <si>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</si>
  <si>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</si>
  <si>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</si>
  <si>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</si>
  <si>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</si>
  <si>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</si>
  <si>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</si>
  <si>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</si>
  <si>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</si>
  <si>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</si>
  <si>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</si>
  <si>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</si>
  <si>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</si>
  <si>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</si>
  <si>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</si>
  <si>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</si>
  <si>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</si>
  <si>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</si>
  <si>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</si>
  <si>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</si>
  <si>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</si>
  <si>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</si>
  <si>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</si>
  <si>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</si>
  <si>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</si>
  <si>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</si>
  <si>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</si>
  <si>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</si>
  <si>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</si>
  <si>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</si>
  <si>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</si>
  <si>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</si>
  <si>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</si>
  <si>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</si>
  <si>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</si>
  <si>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</si>
  <si>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</si>
  <si>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</si>
  <si>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</si>
  <si>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</si>
  <si>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</si>
  <si>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</si>
  <si>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</si>
  <si>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</si>
  <si>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</si>
  <si>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</si>
  <si>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</si>
  <si>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</si>
  <si>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</si>
  <si>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</si>
  <si>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</si>
  <si>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</si>
  <si>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</si>
  <si>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</si>
  <si>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</si>
  <si>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</si>
  <si>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</si>
  <si>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</si>
  <si>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</si>
  <si>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</si>
  <si>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</si>
  <si>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</si>
  <si>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</si>
  <si>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</si>
  <si>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</si>
  <si>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</si>
  <si>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</si>
  <si>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</si>
  <si>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阿尔法尘</t>
    <phoneticPr fontId="1" type="noConversion"/>
  </si>
  <si>
    <t>ML锭</t>
    <phoneticPr fontId="1" type="noConversion"/>
  </si>
  <si>
    <t>锚碎片</t>
    <phoneticPr fontId="1" type="noConversion"/>
  </si>
  <si>
    <t>奇点合金</t>
    <phoneticPr fontId="1" type="noConversion"/>
  </si>
  <si>
    <t>混沌真理</t>
    <phoneticPr fontId="1" type="noConversion"/>
  </si>
  <si>
    <t>辐射零件</t>
    <phoneticPr fontId="1" type="noConversion"/>
  </si>
  <si>
    <t>3.2.3</t>
    <phoneticPr fontId="1" type="noConversion"/>
  </si>
  <si>
    <t>生命+1%</t>
    <phoneticPr fontId="1" type="noConversion"/>
  </si>
  <si>
    <t>攻击+1%</t>
    <phoneticPr fontId="1" type="noConversion"/>
  </si>
  <si>
    <t>攻击+0.5</t>
    <phoneticPr fontId="1" type="noConversion"/>
  </si>
  <si>
    <t>暴击伤害+0.01</t>
    <phoneticPr fontId="1" type="noConversion"/>
  </si>
  <si>
    <t>护甲穿透+3</t>
    <phoneticPr fontId="1" type="noConversion"/>
  </si>
  <si>
    <t>暴击率+0.02</t>
    <phoneticPr fontId="1" type="noConversion"/>
  </si>
  <si>
    <t>击退抗性+0.1</t>
    <phoneticPr fontId="1" type="noConversion"/>
  </si>
  <si>
    <t>行动力恢复+0.2</t>
    <phoneticPr fontId="1" type="noConversion"/>
  </si>
  <si>
    <t>癫火伤害+0.07</t>
    <phoneticPr fontId="1" type="noConversion"/>
  </si>
  <si>
    <t>火焰伤害+20</t>
    <phoneticPr fontId="1" type="noConversion"/>
  </si>
  <si>
    <t>癫火抗性+0.02</t>
    <phoneticPr fontId="1" type="noConversion"/>
  </si>
  <si>
    <t>附魔：保护1</t>
    <phoneticPr fontId="1" type="noConversion"/>
  </si>
  <si>
    <t>暴击伤害+0.08</t>
    <phoneticPr fontId="1" type="noConversion"/>
  </si>
  <si>
    <t>攻击-1.5</t>
    <phoneticPr fontId="1" type="noConversion"/>
  </si>
  <si>
    <t>冰冻伤害+16</t>
    <phoneticPr fontId="1" type="noConversion"/>
  </si>
  <si>
    <t>冰冻伤害+14</t>
    <phoneticPr fontId="1" type="noConversion"/>
  </si>
  <si>
    <t>'kubejs:alpha_dust'</t>
  </si>
  <si>
    <t>'kubejs:ml_computing_ingot'</t>
  </si>
  <si>
    <t>'kubejs:anchor_shard'</t>
  </si>
  <si>
    <t>'kubejs:basepoint_alloy'</t>
  </si>
  <si>
    <t>'kubejs:chaotic_truth'</t>
  </si>
  <si>
    <t>'kubejs:radiation_components'</t>
  </si>
  <si>
    <t>'kubejs:silica_rich_asteroid_rock'</t>
  </si>
  <si>
    <t>'kubejs:bizarre_matter_dust'</t>
  </si>
  <si>
    <t>'cataclysm:lacrima'</t>
  </si>
  <si>
    <t>'the_bumblezone:glistering_honey_crystal'</t>
  </si>
  <si>
    <t>'the_bumblezone:redstone_honey_web'</t>
  </si>
  <si>
    <t>'kubejs:delta_dust'</t>
  </si>
  <si>
    <t>'cataclysm:essence_of_the_storm'</t>
  </si>
  <si>
    <t>'#the_bumblezone:ancient_wax/full_blocks'</t>
  </si>
  <si>
    <t>'kubejs:galatic_cycle_component'</t>
  </si>
  <si>
    <t>'the_bumblezone:royal_jelly_bottle'</t>
  </si>
  <si>
    <t>'kubejs:multifaceted_ambrosia'</t>
  </si>
  <si>
    <t>其他特性</t>
    <phoneticPr fontId="3" type="noConversion"/>
  </si>
  <si>
    <t>生命值-2%</t>
    <phoneticPr fontId="1" type="noConversion"/>
  </si>
  <si>
    <t>'#forge:ingots/terrasteel'</t>
    <phoneticPr fontId="1" type="noConversion"/>
  </si>
  <si>
    <t>护盾2部件</t>
    <phoneticPr fontId="1" type="noConversion"/>
  </si>
  <si>
    <t>镶嵌+裹柄2部件</t>
    <phoneticPr fontId="1" type="noConversion"/>
  </si>
  <si>
    <t>总共10+4+2+2=18部件，默认10+2=12部件，总元素伤害=x*12</t>
    <phoneticPr fontId="1" type="noConversion"/>
  </si>
  <si>
    <t>暴击率+0.03</t>
    <phoneticPr fontId="1" type="noConversion"/>
  </si>
  <si>
    <t>暴击率+0.025</t>
    <phoneticPr fontId="1" type="noConversion"/>
  </si>
  <si>
    <t>M</t>
    <phoneticPr fontId="1" type="noConversion"/>
  </si>
  <si>
    <t>通量注入64k</t>
    <phoneticPr fontId="1" type="noConversion"/>
  </si>
  <si>
    <t>通量注入32k</t>
    <phoneticPr fontId="1" type="noConversion"/>
  </si>
  <si>
    <t>通量注入24k</t>
    <phoneticPr fontId="1" type="noConversion"/>
  </si>
  <si>
    <t>通量注入18k</t>
    <phoneticPr fontId="1" type="noConversion"/>
  </si>
  <si>
    <t>实装标记</t>
    <phoneticPr fontId="3" type="noConversion"/>
  </si>
  <si>
    <t>M/X/R</t>
    <phoneticPr fontId="3" type="noConversion"/>
  </si>
  <si>
    <t>魔法穿透+1</t>
    <phoneticPr fontId="3" type="noConversion"/>
  </si>
  <si>
    <t>护甲穿透+1</t>
    <phoneticPr fontId="3" type="noConversion"/>
  </si>
  <si>
    <t>chaos_anchor</t>
    <phoneticPr fontId="3" type="noConversion"/>
  </si>
  <si>
    <t>进度阶段</t>
    <phoneticPr fontId="3" type="noConversion"/>
  </si>
  <si>
    <t>难度阶段</t>
    <phoneticPr fontId="3" type="noConversion"/>
  </si>
  <si>
    <t>1.3.2</t>
    <phoneticPr fontId="3" type="noConversion"/>
  </si>
  <si>
    <t>冰冻伤害+3</t>
    <phoneticPr fontId="3" type="noConversion"/>
  </si>
  <si>
    <t>吸血+0.0001</t>
    <phoneticPr fontId="3" type="noConversion"/>
  </si>
  <si>
    <t>1.1.4</t>
    <phoneticPr fontId="3" type="noConversion"/>
  </si>
  <si>
    <t>流血+6</t>
    <phoneticPr fontId="3" type="noConversion"/>
  </si>
  <si>
    <t>fantasy_bubble</t>
    <phoneticPr fontId="3" type="noConversion"/>
  </si>
  <si>
    <t>dream_cat</t>
    <phoneticPr fontId="3" type="noConversion"/>
  </si>
  <si>
    <t>时运+1.5</t>
    <phoneticPr fontId="3" type="noConversion"/>
  </si>
  <si>
    <t>幸运+0.1</t>
    <phoneticPr fontId="3" type="noConversion"/>
  </si>
  <si>
    <t>stationary_matter</t>
    <phoneticPr fontId="3" type="noConversion"/>
  </si>
  <si>
    <t>1.3.1</t>
    <phoneticPr fontId="3" type="noConversion"/>
  </si>
  <si>
    <t>全属性+0.001</t>
    <phoneticPr fontId="3" type="noConversion"/>
  </si>
  <si>
    <t>护甲穿透+1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</si>
</sst>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0" borderId="0" xfId="0" applyFont="1"/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zoomScaleNormal="100" workbookViewId="0">
      <pane xSplit="6" ySplit="10" topLeftCell="G20" activePane="bottomRight" state="frozen"/>
      <selection pane="topRight"/>
      <selection pane="bottomLeft"/>
      <selection pane="bottomRight" activeCell="G32" sqref="G32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317</v>
      </c>
      <c r="U1" s="34" t="s">
        <v>268</v>
      </c>
      <c r="V1" s="34"/>
    </row>
    <row r="2" spans="1:24" ht="20.100000000000001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0.25</v>
      </c>
      <c r="H2" s="9">
        <v>0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318</v>
      </c>
      <c r="U2" s="34" t="s">
        <v>468</v>
      </c>
      <c r="V2" s="34"/>
      <c r="W2" s="34"/>
      <c r="X2" s="34"/>
    </row>
    <row r="3" spans="1:24" ht="20.100000000000001" customHeight="1" x14ac:dyDescent="0.2">
      <c r="D3" s="3" t="s">
        <v>15</v>
      </c>
      <c r="E3" s="9">
        <v>0.15</v>
      </c>
      <c r="F3" s="9">
        <v>0.1</v>
      </c>
      <c r="G3" s="9">
        <v>0.25</v>
      </c>
      <c r="H3" s="9">
        <v>0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4" t="s">
        <v>329</v>
      </c>
      <c r="V3" s="35"/>
      <c r="W3" s="35"/>
      <c r="X3" s="35"/>
    </row>
    <row r="4" spans="1:24" ht="20.100000000000001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0.25</v>
      </c>
      <c r="H4" s="9">
        <v>0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  <c r="U4" s="24" t="s">
        <v>466</v>
      </c>
      <c r="V4" s="24" t="s">
        <v>467</v>
      </c>
    </row>
    <row r="5" spans="1:24" ht="20.100000000000001" customHeight="1" x14ac:dyDescent="0.2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401</v>
      </c>
      <c r="R5" s="3" t="s">
        <v>27</v>
      </c>
    </row>
    <row r="6" spans="1:24" ht="20.100000000000001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400</v>
      </c>
      <c r="Q7" s="24" t="s">
        <v>416</v>
      </c>
      <c r="R7" s="24" t="s">
        <v>417</v>
      </c>
    </row>
    <row r="8" spans="1:24" ht="20.100000000000001" customHeight="1" x14ac:dyDescent="0.2">
      <c r="F8" s="3" t="s">
        <v>29</v>
      </c>
      <c r="P8" s="3" t="s">
        <v>14</v>
      </c>
      <c r="Q8" s="3" t="s">
        <v>14</v>
      </c>
      <c r="R8" s="24" t="s">
        <v>418</v>
      </c>
    </row>
    <row r="9" spans="1:24" ht="20.100000000000001" customHeight="1" x14ac:dyDescent="0.2">
      <c r="F9" s="3" t="s">
        <v>30</v>
      </c>
      <c r="G9" s="3" t="s">
        <v>12</v>
      </c>
      <c r="H9" s="3" t="s">
        <v>15</v>
      </c>
      <c r="I9" s="3" t="s">
        <v>22</v>
      </c>
      <c r="W9" s="3" t="s">
        <v>321</v>
      </c>
    </row>
    <row r="10" spans="1:24" ht="20.100000000000001" customHeight="1" x14ac:dyDescent="0.2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319</v>
      </c>
      <c r="W10" s="3" t="s">
        <v>286</v>
      </c>
    </row>
    <row r="11" spans="1:24" ht="20.100000000000001" customHeight="1" x14ac:dyDescent="0.2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3" ht="20.100000000000001" customHeight="1" x14ac:dyDescent="0.2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3" ht="20.100000000000001" customHeight="1" x14ac:dyDescent="0.2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3" ht="20.100000000000001" customHeight="1" x14ac:dyDescent="0.2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3" ht="20.100000000000001" customHeight="1" x14ac:dyDescent="0.2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3" ht="20.100000000000001" customHeight="1" x14ac:dyDescent="0.2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347</v>
      </c>
      <c r="R21" s="9"/>
      <c r="S21" s="9"/>
      <c r="U21" s="24"/>
    </row>
    <row r="22" spans="1:23" ht="20.100000000000001" customHeight="1" x14ac:dyDescent="0.2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23" t="s">
        <v>470</v>
      </c>
      <c r="R22" s="9"/>
      <c r="S22" s="9"/>
      <c r="W22" s="24"/>
    </row>
    <row r="23" spans="1:23" ht="20.100000000000001" customHeight="1" x14ac:dyDescent="0.2">
      <c r="C23" s="5" t="s">
        <v>78</v>
      </c>
      <c r="D23" s="5"/>
      <c r="E23" s="5" t="s">
        <v>81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82</v>
      </c>
      <c r="R23" s="9"/>
      <c r="S23" s="9"/>
    </row>
    <row r="24" spans="1:23" ht="20.100000000000001" customHeight="1" x14ac:dyDescent="0.2">
      <c r="A24" s="3">
        <v>6</v>
      </c>
      <c r="B24" s="3">
        <v>8</v>
      </c>
      <c r="C24" s="12" t="s">
        <v>83</v>
      </c>
      <c r="D24" s="12"/>
      <c r="E24" s="12" t="s">
        <v>84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85</v>
      </c>
      <c r="R24" s="9" t="s">
        <v>86</v>
      </c>
      <c r="S24" s="9"/>
    </row>
    <row r="25" spans="1:23" ht="20.100000000000001" customHeight="1" x14ac:dyDescent="0.2">
      <c r="C25" s="12" t="s">
        <v>83</v>
      </c>
      <c r="D25" s="12"/>
      <c r="E25" s="12" t="s">
        <v>87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88</v>
      </c>
      <c r="R25" s="23"/>
      <c r="S25" s="9"/>
      <c r="U25" s="24"/>
    </row>
    <row r="26" spans="1:23" ht="20.100000000000001" customHeight="1" x14ac:dyDescent="0.2">
      <c r="C26" s="12" t="s">
        <v>83</v>
      </c>
      <c r="D26" s="12"/>
      <c r="E26" s="12" t="s">
        <v>89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90</v>
      </c>
      <c r="R26" s="23" t="s">
        <v>360</v>
      </c>
      <c r="S26" s="9"/>
      <c r="U26" s="24"/>
    </row>
    <row r="27" spans="1:23" ht="20.100000000000001" customHeight="1" x14ac:dyDescent="0.2">
      <c r="A27" s="3">
        <v>8</v>
      </c>
      <c r="B27" s="3">
        <v>9</v>
      </c>
      <c r="C27" s="5" t="s">
        <v>91</v>
      </c>
      <c r="D27" s="5"/>
      <c r="E27" s="5" t="s">
        <v>92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90</v>
      </c>
      <c r="R27" s="9"/>
      <c r="S27" s="9"/>
    </row>
    <row r="28" spans="1:23" ht="20.100000000000001" customHeight="1" x14ac:dyDescent="0.2">
      <c r="C28" s="5" t="s">
        <v>91</v>
      </c>
      <c r="D28" s="5"/>
      <c r="E28" s="5" t="s">
        <v>93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88</v>
      </c>
      <c r="R28" s="9"/>
      <c r="S28" s="9"/>
    </row>
    <row r="29" spans="1:23" ht="20.100000000000001" customHeight="1" x14ac:dyDescent="0.2">
      <c r="C29" s="5" t="s">
        <v>91</v>
      </c>
      <c r="D29" s="5"/>
      <c r="E29" s="5" t="s">
        <v>94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95</v>
      </c>
      <c r="R29" s="9"/>
      <c r="S29" s="9"/>
    </row>
    <row r="30" spans="1:23" ht="20.100000000000001" customHeight="1" x14ac:dyDescent="0.2">
      <c r="A30" s="3">
        <v>9</v>
      </c>
      <c r="B30" s="3">
        <v>10</v>
      </c>
      <c r="C30" s="12" t="s">
        <v>96</v>
      </c>
      <c r="D30" s="12"/>
      <c r="E30" s="12" t="s">
        <v>97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98</v>
      </c>
      <c r="R30" s="23" t="s">
        <v>351</v>
      </c>
      <c r="S30" s="9"/>
      <c r="U30" s="24"/>
    </row>
    <row r="31" spans="1:23" ht="20.100000000000001" customHeight="1" x14ac:dyDescent="0.2">
      <c r="C31" s="12" t="s">
        <v>96</v>
      </c>
      <c r="D31" s="12"/>
      <c r="E31" s="12" t="s">
        <v>99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85</v>
      </c>
      <c r="R31" s="23" t="s">
        <v>356</v>
      </c>
      <c r="S31" s="9"/>
      <c r="U31" s="24"/>
    </row>
    <row r="32" spans="1:23" ht="20.100000000000001" customHeight="1" x14ac:dyDescent="0.2">
      <c r="A32" s="3">
        <v>8</v>
      </c>
      <c r="B32" s="3">
        <v>12</v>
      </c>
      <c r="C32" s="5" t="s">
        <v>100</v>
      </c>
      <c r="D32" s="5" t="s">
        <v>101</v>
      </c>
      <c r="E32" s="5" t="s">
        <v>102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103</v>
      </c>
      <c r="R32" s="9"/>
      <c r="S32" s="9"/>
    </row>
    <row r="33" spans="1:23" ht="20.100000000000001" customHeight="1" x14ac:dyDescent="0.2">
      <c r="C33" s="5" t="s">
        <v>100</v>
      </c>
      <c r="D33" s="5" t="s">
        <v>104</v>
      </c>
      <c r="E33" s="5" t="s">
        <v>105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106</v>
      </c>
      <c r="R33" s="9"/>
      <c r="S33" s="9"/>
    </row>
    <row r="34" spans="1:23" ht="20.100000000000001" customHeight="1" x14ac:dyDescent="0.2">
      <c r="C34" s="5" t="s">
        <v>100</v>
      </c>
      <c r="D34" s="5" t="s">
        <v>107</v>
      </c>
      <c r="E34" s="5" t="s">
        <v>108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348</v>
      </c>
      <c r="R34" s="9"/>
      <c r="S34" s="9"/>
      <c r="U34" s="24"/>
    </row>
    <row r="35" spans="1:23" ht="20.100000000000001" customHeight="1" x14ac:dyDescent="0.2">
      <c r="A35" s="3">
        <v>9</v>
      </c>
      <c r="B35" s="3">
        <v>12.5</v>
      </c>
      <c r="C35" s="12" t="s">
        <v>109</v>
      </c>
      <c r="D35" s="12" t="s">
        <v>110</v>
      </c>
      <c r="E35" s="12" t="s">
        <v>111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112</v>
      </c>
      <c r="R35" s="23" t="s">
        <v>350</v>
      </c>
      <c r="S35" s="9"/>
      <c r="U35" s="24"/>
    </row>
    <row r="36" spans="1:23" ht="20.100000000000001" customHeight="1" x14ac:dyDescent="0.2">
      <c r="C36" s="12" t="s">
        <v>109</v>
      </c>
      <c r="D36" s="12" t="s">
        <v>113</v>
      </c>
      <c r="E36" s="12" t="s">
        <v>114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115</v>
      </c>
      <c r="R36" s="9"/>
      <c r="S36" s="9"/>
    </row>
    <row r="37" spans="1:23" ht="20.100000000000001" customHeight="1" x14ac:dyDescent="0.2">
      <c r="C37" s="12" t="s">
        <v>109</v>
      </c>
      <c r="D37" s="12" t="s">
        <v>116</v>
      </c>
      <c r="E37" s="12" t="s">
        <v>117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118</v>
      </c>
      <c r="R37" s="9"/>
      <c r="S37" s="9"/>
    </row>
    <row r="38" spans="1:23" ht="20.100000000000001" customHeight="1" x14ac:dyDescent="0.2">
      <c r="A38" s="3">
        <v>10</v>
      </c>
      <c r="B38" s="3">
        <v>13</v>
      </c>
      <c r="C38" s="5" t="s">
        <v>119</v>
      </c>
      <c r="D38" s="5" t="s">
        <v>120</v>
      </c>
      <c r="E38" s="5" t="s">
        <v>121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3" ht="20.100000000000001" customHeight="1" x14ac:dyDescent="0.2">
      <c r="C39" s="5" t="s">
        <v>119</v>
      </c>
      <c r="D39" s="5" t="s">
        <v>122</v>
      </c>
      <c r="E39" s="5" t="s">
        <v>123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124</v>
      </c>
      <c r="R39" s="9"/>
      <c r="S39" s="9"/>
    </row>
    <row r="40" spans="1:23" ht="20.100000000000001" customHeight="1" x14ac:dyDescent="0.2">
      <c r="C40" s="5" t="s">
        <v>119</v>
      </c>
      <c r="D40" s="5" t="s">
        <v>125</v>
      </c>
      <c r="E40" s="5" t="s">
        <v>126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349</v>
      </c>
      <c r="R40" s="9"/>
      <c r="S40" s="9"/>
      <c r="U40" s="24"/>
    </row>
    <row r="41" spans="1:23" ht="20.100000000000001" customHeight="1" x14ac:dyDescent="0.2">
      <c r="A41" s="3">
        <v>11</v>
      </c>
      <c r="B41" s="3">
        <v>13.5</v>
      </c>
      <c r="C41" s="12" t="s">
        <v>127</v>
      </c>
      <c r="D41" s="12" t="s">
        <v>128</v>
      </c>
      <c r="E41" s="12" t="s">
        <v>129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130</v>
      </c>
      <c r="R41" s="9"/>
      <c r="S41" s="9"/>
    </row>
    <row r="42" spans="1:23" ht="20.100000000000001" customHeight="1" x14ac:dyDescent="0.2">
      <c r="C42" s="12" t="s">
        <v>127</v>
      </c>
      <c r="D42" s="12" t="s">
        <v>131</v>
      </c>
      <c r="E42" s="12" t="s">
        <v>132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112</v>
      </c>
      <c r="R42" s="23" t="s">
        <v>352</v>
      </c>
      <c r="S42" s="9"/>
      <c r="U42" s="24"/>
    </row>
    <row r="43" spans="1:23" ht="20.100000000000001" customHeight="1" x14ac:dyDescent="0.2">
      <c r="A43" s="3">
        <v>13</v>
      </c>
      <c r="B43" s="3">
        <v>14</v>
      </c>
      <c r="C43" s="5" t="s">
        <v>133</v>
      </c>
      <c r="D43" s="5" t="s">
        <v>134</v>
      </c>
      <c r="E43" s="5" t="s">
        <v>135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23" t="s">
        <v>470</v>
      </c>
      <c r="R43" s="9"/>
      <c r="S43" s="9"/>
      <c r="W43" s="24"/>
    </row>
    <row r="44" spans="1:23" ht="20.100000000000001" customHeight="1" x14ac:dyDescent="0.2">
      <c r="C44" s="5" t="s">
        <v>133</v>
      </c>
      <c r="D44" s="5" t="s">
        <v>136</v>
      </c>
      <c r="E44" s="5" t="s">
        <v>137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353</v>
      </c>
      <c r="R44" s="9"/>
      <c r="S44" s="9"/>
      <c r="U44" s="24"/>
    </row>
    <row r="45" spans="1:23" ht="20.100000000000001" customHeight="1" x14ac:dyDescent="0.2">
      <c r="C45" s="5" t="s">
        <v>133</v>
      </c>
      <c r="D45" s="5" t="s">
        <v>138</v>
      </c>
      <c r="E45" s="5" t="s">
        <v>139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3" ht="20.100000000000001" customHeight="1" x14ac:dyDescent="0.2">
      <c r="C46" s="5" t="s">
        <v>133</v>
      </c>
      <c r="D46" s="22" t="s">
        <v>140</v>
      </c>
      <c r="E46" s="5" t="s">
        <v>141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142</v>
      </c>
      <c r="R46" s="9"/>
      <c r="S46" s="9"/>
    </row>
    <row r="47" spans="1:23" ht="20.100000000000001" customHeight="1" x14ac:dyDescent="0.2">
      <c r="A47" s="3">
        <v>14</v>
      </c>
      <c r="B47" s="3">
        <v>15</v>
      </c>
      <c r="C47" s="12" t="s">
        <v>143</v>
      </c>
      <c r="D47" s="12" t="s">
        <v>144</v>
      </c>
      <c r="E47" s="12" t="s">
        <v>145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146</v>
      </c>
      <c r="R47" s="9"/>
      <c r="S47" s="9"/>
    </row>
    <row r="48" spans="1:23" ht="20.100000000000001" customHeight="1" x14ac:dyDescent="0.2">
      <c r="C48" s="12" t="s">
        <v>143</v>
      </c>
      <c r="D48" s="12" t="s">
        <v>147</v>
      </c>
      <c r="E48" s="12" t="s">
        <v>148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355</v>
      </c>
      <c r="R48" s="9"/>
      <c r="S48" s="9"/>
      <c r="U48" s="24"/>
    </row>
    <row r="49" spans="1:21" ht="20.100000000000001" customHeight="1" x14ac:dyDescent="0.2">
      <c r="A49" s="3">
        <v>16</v>
      </c>
      <c r="B49" s="3">
        <v>16</v>
      </c>
      <c r="C49" s="5" t="s">
        <v>149</v>
      </c>
      <c r="D49" s="5" t="s">
        <v>150</v>
      </c>
      <c r="E49" s="5" t="s">
        <v>151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118</v>
      </c>
      <c r="R49" s="9" t="s">
        <v>152</v>
      </c>
      <c r="S49" s="9"/>
    </row>
    <row r="50" spans="1:21" ht="20.100000000000001" customHeight="1" x14ac:dyDescent="0.2">
      <c r="C50" s="5" t="s">
        <v>149</v>
      </c>
      <c r="D50" s="5" t="s">
        <v>153</v>
      </c>
      <c r="E50" s="5" t="s">
        <v>154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155</v>
      </c>
      <c r="R50" s="9" t="s">
        <v>156</v>
      </c>
      <c r="S50" s="9"/>
    </row>
    <row r="51" spans="1:21" ht="20.100000000000001" customHeight="1" x14ac:dyDescent="0.2">
      <c r="C51" s="5" t="s">
        <v>149</v>
      </c>
      <c r="D51" s="5" t="s">
        <v>157</v>
      </c>
      <c r="E51" s="5" t="s">
        <v>158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159</v>
      </c>
      <c r="R51" s="9"/>
      <c r="S51" s="9"/>
    </row>
    <row r="52" spans="1:21" ht="20.100000000000001" customHeight="1" x14ac:dyDescent="0.2">
      <c r="C52" s="5" t="s">
        <v>149</v>
      </c>
      <c r="D52" s="5" t="s">
        <v>160</v>
      </c>
      <c r="E52" s="5" t="s">
        <v>161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162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163</v>
      </c>
      <c r="D53" s="12" t="s">
        <v>164</v>
      </c>
      <c r="E53" s="12" t="s">
        <v>165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166</v>
      </c>
      <c r="R53" s="9"/>
      <c r="S53" s="9"/>
    </row>
    <row r="54" spans="1:21" ht="20.100000000000001" customHeight="1" x14ac:dyDescent="0.2">
      <c r="C54" s="12" t="s">
        <v>163</v>
      </c>
      <c r="D54" s="12" t="s">
        <v>167</v>
      </c>
      <c r="E54" s="12" t="s">
        <v>168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356</v>
      </c>
      <c r="R54" s="9"/>
      <c r="S54" s="9"/>
      <c r="U54" s="24"/>
    </row>
    <row r="55" spans="1:21" ht="20.100000000000001" customHeight="1" x14ac:dyDescent="0.2">
      <c r="C55" s="12" t="s">
        <v>163</v>
      </c>
      <c r="D55" s="12" t="s">
        <v>169</v>
      </c>
      <c r="E55" s="12" t="s">
        <v>170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171</v>
      </c>
      <c r="R55" s="9" t="s">
        <v>172</v>
      </c>
      <c r="S55" s="9"/>
    </row>
    <row r="56" spans="1:21" ht="20.100000000000001" customHeight="1" x14ac:dyDescent="0.2">
      <c r="C56" s="5" t="s">
        <v>173</v>
      </c>
      <c r="D56" s="5" t="s">
        <v>174</v>
      </c>
      <c r="E56" s="5" t="s">
        <v>175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142</v>
      </c>
      <c r="R56" s="9"/>
      <c r="S56" s="9"/>
    </row>
    <row r="57" spans="1:21" ht="20.100000000000001" customHeight="1" x14ac:dyDescent="0.2">
      <c r="C57" s="5" t="s">
        <v>173</v>
      </c>
      <c r="D57" s="5" t="s">
        <v>176</v>
      </c>
      <c r="E57" s="5" t="s">
        <v>177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178</v>
      </c>
      <c r="R57" s="23" t="s">
        <v>419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179</v>
      </c>
      <c r="D58" s="12" t="s">
        <v>180</v>
      </c>
      <c r="E58" s="12" t="s">
        <v>181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23" t="s">
        <v>495</v>
      </c>
      <c r="R58" s="9" t="s">
        <v>182</v>
      </c>
      <c r="S58" s="23" t="s">
        <v>354</v>
      </c>
      <c r="U58" s="24"/>
    </row>
    <row r="59" spans="1:21" ht="20.100000000000001" customHeight="1" x14ac:dyDescent="0.2">
      <c r="A59" s="3">
        <v>14</v>
      </c>
      <c r="B59" s="3">
        <v>15</v>
      </c>
      <c r="C59" s="5" t="s">
        <v>183</v>
      </c>
      <c r="D59" s="5" t="s">
        <v>184</v>
      </c>
      <c r="E59" s="5" t="s">
        <v>185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159</v>
      </c>
      <c r="R59" s="9"/>
      <c r="S59" s="9"/>
    </row>
    <row r="60" spans="1:21" ht="20.100000000000001" customHeight="1" x14ac:dyDescent="0.2">
      <c r="C60" s="5" t="s">
        <v>186</v>
      </c>
      <c r="D60" s="5" t="s">
        <v>187</v>
      </c>
      <c r="E60" s="5" t="s">
        <v>188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189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190</v>
      </c>
      <c r="D61" s="5" t="s">
        <v>191</v>
      </c>
      <c r="E61" s="5" t="s">
        <v>192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193</v>
      </c>
      <c r="R61" s="9"/>
      <c r="S61" s="9"/>
    </row>
    <row r="62" spans="1:21" ht="20.100000000000001" customHeight="1" x14ac:dyDescent="0.2">
      <c r="C62" s="25" t="s">
        <v>288</v>
      </c>
      <c r="D62" s="5" t="s">
        <v>289</v>
      </c>
      <c r="E62" s="25" t="s">
        <v>290</v>
      </c>
      <c r="F62" s="25" t="s">
        <v>291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292</v>
      </c>
      <c r="R62" s="23" t="s">
        <v>293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194</v>
      </c>
      <c r="D63" s="21" t="s">
        <v>195</v>
      </c>
      <c r="E63" s="12" t="s">
        <v>196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142</v>
      </c>
      <c r="R63" s="23" t="s">
        <v>357</v>
      </c>
      <c r="S63" s="23" t="s">
        <v>361</v>
      </c>
      <c r="U63" s="24"/>
    </row>
    <row r="64" spans="1:21" ht="20.100000000000001" customHeight="1" x14ac:dyDescent="0.2">
      <c r="A64" s="3">
        <v>29</v>
      </c>
      <c r="B64" s="3">
        <v>30</v>
      </c>
      <c r="C64" s="5" t="s">
        <v>197</v>
      </c>
      <c r="D64" s="5" t="s">
        <v>198</v>
      </c>
      <c r="E64" s="5" t="s">
        <v>199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270</v>
      </c>
      <c r="R64" s="9"/>
      <c r="S64" s="9"/>
    </row>
    <row r="65" spans="1:21" ht="20.100000000000001" customHeight="1" x14ac:dyDescent="0.2">
      <c r="C65" s="5" t="s">
        <v>197</v>
      </c>
      <c r="D65" s="5" t="s">
        <v>200</v>
      </c>
      <c r="E65" s="5" t="s">
        <v>201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269</v>
      </c>
      <c r="R65" s="9"/>
      <c r="S65" s="9"/>
    </row>
    <row r="66" spans="1:21" ht="20.100000000000001" customHeight="1" x14ac:dyDescent="0.2">
      <c r="C66" s="5" t="s">
        <v>197</v>
      </c>
      <c r="D66" s="5" t="s">
        <v>202</v>
      </c>
      <c r="E66" s="5" t="s">
        <v>203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204</v>
      </c>
      <c r="R66" s="9"/>
      <c r="S66" s="9"/>
    </row>
    <row r="67" spans="1:21" ht="20.100000000000001" customHeight="1" x14ac:dyDescent="0.2">
      <c r="C67" s="5" t="s">
        <v>197</v>
      </c>
      <c r="D67" s="5" t="s">
        <v>205</v>
      </c>
      <c r="E67" s="5" t="s">
        <v>206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207</v>
      </c>
      <c r="R67" s="23" t="s">
        <v>358</v>
      </c>
      <c r="S67" s="9"/>
      <c r="U67" s="24"/>
    </row>
    <row r="68" spans="1:21" ht="20.100000000000001" customHeight="1" x14ac:dyDescent="0.2">
      <c r="A68" s="3">
        <v>35</v>
      </c>
      <c r="B68" s="3">
        <v>40</v>
      </c>
      <c r="C68" s="12" t="s">
        <v>208</v>
      </c>
      <c r="D68" s="12" t="s">
        <v>209</v>
      </c>
      <c r="E68" s="12" t="s">
        <v>210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211</v>
      </c>
      <c r="R68" s="9"/>
      <c r="S68" s="9"/>
    </row>
    <row r="69" spans="1:21" ht="20.100000000000001" customHeight="1" x14ac:dyDescent="0.2">
      <c r="C69" s="12" t="s">
        <v>208</v>
      </c>
      <c r="D69" s="12" t="s">
        <v>215</v>
      </c>
      <c r="E69" s="12" t="s">
        <v>216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271</v>
      </c>
      <c r="R69" s="9"/>
      <c r="S69" s="9"/>
    </row>
    <row r="70" spans="1:21" ht="20.100000000000001" customHeight="1" x14ac:dyDescent="0.2">
      <c r="A70" s="3">
        <v>40</v>
      </c>
      <c r="B70" s="3">
        <v>45</v>
      </c>
      <c r="C70" s="5" t="s">
        <v>219</v>
      </c>
      <c r="D70" s="5" t="s">
        <v>220</v>
      </c>
      <c r="E70" s="5" t="s">
        <v>221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155</v>
      </c>
      <c r="R70" s="9" t="s">
        <v>146</v>
      </c>
      <c r="S70" s="9"/>
    </row>
    <row r="71" spans="1:21" ht="20.100000000000001" customHeight="1" x14ac:dyDescent="0.2">
      <c r="C71" s="5" t="s">
        <v>219</v>
      </c>
      <c r="D71" s="5" t="s">
        <v>313</v>
      </c>
      <c r="E71" s="25" t="s">
        <v>314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315</v>
      </c>
      <c r="R71" s="23" t="s">
        <v>316</v>
      </c>
      <c r="S71" s="23" t="s">
        <v>320</v>
      </c>
      <c r="U71" s="24"/>
    </row>
    <row r="72" spans="1:21" ht="20.100000000000001" customHeight="1" x14ac:dyDescent="0.2">
      <c r="C72" s="5" t="s">
        <v>219</v>
      </c>
      <c r="D72" s="5" t="s">
        <v>212</v>
      </c>
      <c r="E72" s="5" t="s">
        <v>213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419</v>
      </c>
      <c r="R72" s="9" t="s">
        <v>172</v>
      </c>
      <c r="S72" s="9" t="s">
        <v>214</v>
      </c>
      <c r="T72" s="24" t="s">
        <v>475</v>
      </c>
      <c r="U72" s="24"/>
    </row>
    <row r="73" spans="1:21" ht="20.100000000000001" customHeight="1" x14ac:dyDescent="0.2">
      <c r="A73" s="3">
        <v>40</v>
      </c>
      <c r="B73" s="3">
        <v>45</v>
      </c>
      <c r="C73" s="12" t="s">
        <v>225</v>
      </c>
      <c r="D73" s="12" t="s">
        <v>223</v>
      </c>
      <c r="E73" s="12" t="s">
        <v>224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325</v>
      </c>
      <c r="R73" s="23" t="s">
        <v>326</v>
      </c>
      <c r="S73" s="9"/>
      <c r="U73" s="24"/>
    </row>
    <row r="74" spans="1:21" ht="20.100000000000001" customHeight="1" x14ac:dyDescent="0.2">
      <c r="C74" s="12" t="s">
        <v>225</v>
      </c>
      <c r="D74" s="12" t="s">
        <v>226</v>
      </c>
      <c r="E74" s="12" t="s">
        <v>227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327</v>
      </c>
      <c r="R74" s="23" t="s">
        <v>273</v>
      </c>
      <c r="S74" s="9"/>
    </row>
    <row r="75" spans="1:21" ht="20.100000000000001" customHeight="1" x14ac:dyDescent="0.2">
      <c r="C75" s="12" t="s">
        <v>225</v>
      </c>
      <c r="D75" s="12" t="s">
        <v>304</v>
      </c>
      <c r="E75" s="12" t="s">
        <v>305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5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204</v>
      </c>
      <c r="R75" s="23" t="s">
        <v>355</v>
      </c>
      <c r="S75" s="9"/>
      <c r="U75" s="24"/>
    </row>
    <row r="76" spans="1:21" ht="20.100000000000001" customHeight="1" x14ac:dyDescent="0.2">
      <c r="C76" s="12" t="s">
        <v>225</v>
      </c>
      <c r="D76" s="12" t="s">
        <v>306</v>
      </c>
      <c r="E76" s="12" t="s">
        <v>307</v>
      </c>
      <c r="F76" s="12" t="s">
        <v>310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311</v>
      </c>
      <c r="R76" s="23" t="s">
        <v>354</v>
      </c>
      <c r="S76" s="9"/>
      <c r="U76" s="24"/>
    </row>
    <row r="77" spans="1:21" ht="20.100000000000001" customHeight="1" x14ac:dyDescent="0.2">
      <c r="A77" s="3">
        <v>50</v>
      </c>
      <c r="B77" s="3">
        <v>60</v>
      </c>
      <c r="C77" s="5" t="s">
        <v>228</v>
      </c>
      <c r="D77" s="29" t="s">
        <v>362</v>
      </c>
      <c r="E77" s="5" t="s">
        <v>230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328</v>
      </c>
      <c r="R77" s="9"/>
      <c r="S77" s="9"/>
      <c r="U77" s="24"/>
    </row>
    <row r="78" spans="1:21" ht="20.100000000000001" customHeight="1" x14ac:dyDescent="0.2">
      <c r="C78" s="5" t="s">
        <v>228</v>
      </c>
      <c r="D78" s="5" t="s">
        <v>229</v>
      </c>
      <c r="E78" s="5" t="s">
        <v>231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282</v>
      </c>
      <c r="R78" s="23" t="s">
        <v>272</v>
      </c>
      <c r="S78" s="9"/>
    </row>
    <row r="79" spans="1:21" ht="20.100000000000001" customHeight="1" x14ac:dyDescent="0.2">
      <c r="C79" s="5" t="s">
        <v>228</v>
      </c>
      <c r="D79" s="5" t="s">
        <v>308</v>
      </c>
      <c r="E79" s="5" t="s">
        <v>309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312</v>
      </c>
      <c r="R79" s="23"/>
      <c r="S79" s="9"/>
      <c r="U79" s="24"/>
    </row>
    <row r="80" spans="1:21" ht="20.100000000000001" customHeight="1" x14ac:dyDescent="0.2">
      <c r="C80" s="5" t="s">
        <v>228</v>
      </c>
      <c r="D80" s="5" t="s">
        <v>247</v>
      </c>
      <c r="E80" s="5" t="s">
        <v>248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345</v>
      </c>
      <c r="R80" s="9"/>
      <c r="S80" s="9"/>
      <c r="U80" s="24"/>
    </row>
    <row r="81" spans="1:23" ht="20.100000000000001" customHeight="1" x14ac:dyDescent="0.2">
      <c r="C81" s="5" t="s">
        <v>228</v>
      </c>
      <c r="D81" s="5" t="s">
        <v>330</v>
      </c>
      <c r="E81" s="5" t="s">
        <v>331</v>
      </c>
      <c r="F81" s="5" t="s">
        <v>291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222</v>
      </c>
      <c r="R81" s="9" t="s">
        <v>211</v>
      </c>
      <c r="S81" s="9"/>
      <c r="U81" s="24"/>
    </row>
    <row r="82" spans="1:23" ht="20.100000000000001" customHeight="1" x14ac:dyDescent="0.2">
      <c r="A82" s="3">
        <v>60</v>
      </c>
      <c r="B82" s="3">
        <v>65</v>
      </c>
      <c r="C82" s="12" t="s">
        <v>322</v>
      </c>
      <c r="D82" s="12" t="s">
        <v>333</v>
      </c>
      <c r="E82" s="12" t="s">
        <v>334</v>
      </c>
      <c r="F82" s="12" t="s">
        <v>291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232</v>
      </c>
      <c r="R82" s="9" t="s">
        <v>233</v>
      </c>
      <c r="S82" s="9"/>
    </row>
    <row r="83" spans="1:23" ht="20.100000000000001" customHeight="1" x14ac:dyDescent="0.2">
      <c r="C83" s="12" t="s">
        <v>322</v>
      </c>
      <c r="D83" s="12" t="s">
        <v>335</v>
      </c>
      <c r="E83" s="12" t="s">
        <v>336</v>
      </c>
      <c r="F83" s="12" t="s">
        <v>291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274</v>
      </c>
      <c r="R83" s="9" t="s">
        <v>103</v>
      </c>
      <c r="S83" s="9"/>
    </row>
    <row r="84" spans="1:23" ht="20.100000000000001" customHeight="1" x14ac:dyDescent="0.2">
      <c r="C84" s="12" t="s">
        <v>322</v>
      </c>
      <c r="D84" s="12" t="s">
        <v>337</v>
      </c>
      <c r="E84" s="12" t="s">
        <v>338</v>
      </c>
      <c r="F84" s="12" t="s">
        <v>291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276</v>
      </c>
      <c r="R84" s="23" t="s">
        <v>275</v>
      </c>
      <c r="S84" s="9"/>
    </row>
    <row r="85" spans="1:23" ht="20.100000000000001" customHeight="1" x14ac:dyDescent="0.2">
      <c r="C85" s="12" t="s">
        <v>294</v>
      </c>
      <c r="D85" s="12" t="s">
        <v>339</v>
      </c>
      <c r="E85" s="12" t="s">
        <v>295</v>
      </c>
      <c r="F85" s="12" t="s">
        <v>291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419</v>
      </c>
      <c r="R85" s="23" t="s">
        <v>301</v>
      </c>
      <c r="S85" s="9"/>
      <c r="U85" s="24"/>
    </row>
    <row r="86" spans="1:23" ht="20.100000000000001" customHeight="1" x14ac:dyDescent="0.2">
      <c r="C86" s="12" t="s">
        <v>294</v>
      </c>
      <c r="D86" s="12" t="s">
        <v>340</v>
      </c>
      <c r="E86" s="12" t="s">
        <v>341</v>
      </c>
      <c r="F86" s="12" t="s">
        <v>291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344</v>
      </c>
      <c r="R86" s="23" t="s">
        <v>359</v>
      </c>
      <c r="S86" s="9"/>
      <c r="U86" s="24"/>
    </row>
    <row r="87" spans="1:23" ht="20.100000000000001" customHeight="1" x14ac:dyDescent="0.2">
      <c r="C87" s="12" t="s">
        <v>294</v>
      </c>
      <c r="D87" s="12" t="s">
        <v>342</v>
      </c>
      <c r="E87" s="12" t="s">
        <v>343</v>
      </c>
      <c r="F87" s="12" t="s">
        <v>291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287</v>
      </c>
      <c r="R87" s="23" t="s">
        <v>281</v>
      </c>
      <c r="S87" s="23" t="s">
        <v>316</v>
      </c>
      <c r="U87" s="24"/>
    </row>
    <row r="88" spans="1:23" ht="19.5" customHeight="1" x14ac:dyDescent="0.2">
      <c r="C88" s="12" t="s">
        <v>322</v>
      </c>
      <c r="D88" s="12" t="s">
        <v>323</v>
      </c>
      <c r="E88" s="12" t="s">
        <v>302</v>
      </c>
      <c r="F88" s="12" t="s">
        <v>291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303</v>
      </c>
      <c r="R88" s="23"/>
      <c r="S88" s="23"/>
      <c r="U88" s="24"/>
    </row>
    <row r="89" spans="1:23" ht="20.100000000000001" customHeight="1" x14ac:dyDescent="0.2">
      <c r="A89" s="3">
        <v>70</v>
      </c>
      <c r="B89" s="3">
        <v>70</v>
      </c>
      <c r="C89" s="5" t="s">
        <v>234</v>
      </c>
      <c r="D89" s="5" t="s">
        <v>235</v>
      </c>
      <c r="E89" s="5" t="s">
        <v>236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277</v>
      </c>
      <c r="R89" s="23" t="s">
        <v>278</v>
      </c>
      <c r="S89" s="9" t="s">
        <v>214</v>
      </c>
      <c r="T89" s="24" t="s">
        <v>474</v>
      </c>
      <c r="U89" s="24"/>
    </row>
    <row r="90" spans="1:23" ht="20.100000000000001" customHeight="1" x14ac:dyDescent="0.2">
      <c r="C90" s="5" t="s">
        <v>234</v>
      </c>
      <c r="D90" s="5" t="s">
        <v>237</v>
      </c>
      <c r="E90" s="5" t="s">
        <v>238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279</v>
      </c>
      <c r="R90" s="23" t="s">
        <v>300</v>
      </c>
      <c r="S90" s="23" t="s">
        <v>280</v>
      </c>
      <c r="U90" s="24"/>
    </row>
    <row r="91" spans="1:23" ht="20.100000000000001" customHeight="1" x14ac:dyDescent="0.2">
      <c r="C91" s="5" t="s">
        <v>296</v>
      </c>
      <c r="D91" s="5" t="s">
        <v>297</v>
      </c>
      <c r="E91" s="5" t="s">
        <v>298</v>
      </c>
      <c r="F91" s="5" t="s">
        <v>291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299</v>
      </c>
      <c r="R91" s="23" t="s">
        <v>300</v>
      </c>
      <c r="S91" s="23"/>
      <c r="U91" s="24"/>
    </row>
    <row r="92" spans="1:23" ht="20.100000000000001" customHeight="1" x14ac:dyDescent="0.2">
      <c r="A92" s="3">
        <v>80</v>
      </c>
      <c r="B92" s="3">
        <v>75</v>
      </c>
      <c r="C92" s="12" t="s">
        <v>239</v>
      </c>
      <c r="D92" s="12" t="s">
        <v>240</v>
      </c>
      <c r="E92" s="26" t="s">
        <v>363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241</v>
      </c>
      <c r="R92" s="23" t="s">
        <v>419</v>
      </c>
      <c r="S92" s="23" t="s">
        <v>469</v>
      </c>
      <c r="U92" s="24"/>
      <c r="W92" s="24"/>
    </row>
    <row r="93" spans="1:23" ht="20.100000000000001" customHeight="1" x14ac:dyDescent="0.2">
      <c r="C93" s="12" t="s">
        <v>324</v>
      </c>
      <c r="D93" s="12" t="s">
        <v>217</v>
      </c>
      <c r="E93" s="12" t="s">
        <v>218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346</v>
      </c>
      <c r="R93" s="23" t="s">
        <v>419</v>
      </c>
      <c r="S93" s="23" t="s">
        <v>367</v>
      </c>
      <c r="U93" s="24"/>
    </row>
    <row r="94" spans="1:23" ht="20.100000000000001" customHeight="1" x14ac:dyDescent="0.2">
      <c r="C94" s="12" t="s">
        <v>239</v>
      </c>
      <c r="D94" s="12" t="s">
        <v>242</v>
      </c>
      <c r="E94" s="12" t="s">
        <v>243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283</v>
      </c>
      <c r="R94" s="23" t="s">
        <v>347</v>
      </c>
      <c r="S94" s="23" t="s">
        <v>349</v>
      </c>
      <c r="U94" s="24"/>
    </row>
    <row r="95" spans="1:23" ht="20.100000000000001" customHeight="1" x14ac:dyDescent="0.2">
      <c r="A95" s="3">
        <v>60</v>
      </c>
      <c r="B95" s="3">
        <v>65</v>
      </c>
      <c r="C95" s="5" t="s">
        <v>244</v>
      </c>
      <c r="D95" s="5" t="s">
        <v>245</v>
      </c>
      <c r="E95" s="5" t="s">
        <v>246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4" si="49">(G95*$I$2)+(H95*$I$3)</f>
        <v>40.5</v>
      </c>
      <c r="K95" s="9">
        <f t="shared" si="41"/>
        <v>19.5</v>
      </c>
      <c r="L95" s="10">
        <f t="shared" ref="L95:L104" si="50">J95+K95</f>
        <v>60</v>
      </c>
      <c r="M95" s="11">
        <f t="shared" ref="M95:M119" si="51">I95*$M$2</f>
        <v>62.5</v>
      </c>
      <c r="N95" s="11">
        <f t="shared" ref="N95:N119" si="52">I95*$M$3</f>
        <v>15</v>
      </c>
      <c r="O95" s="9">
        <v>9</v>
      </c>
      <c r="P95" s="9">
        <v>9</v>
      </c>
      <c r="Q95" s="23" t="s">
        <v>284</v>
      </c>
      <c r="R95" s="23" t="s">
        <v>354</v>
      </c>
      <c r="S95" s="23" t="s">
        <v>355</v>
      </c>
      <c r="U95" s="24"/>
    </row>
    <row r="96" spans="1:23" ht="20.100000000000001" customHeight="1" x14ac:dyDescent="0.2">
      <c r="A96" s="3">
        <v>75</v>
      </c>
      <c r="B96" s="3">
        <v>80</v>
      </c>
      <c r="C96" s="12" t="s">
        <v>249</v>
      </c>
      <c r="D96" s="12" t="s">
        <v>250</v>
      </c>
      <c r="E96" s="12" t="s">
        <v>251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252</v>
      </c>
      <c r="R96" s="23" t="s">
        <v>364</v>
      </c>
      <c r="S96" s="9" t="s">
        <v>253</v>
      </c>
      <c r="T96" s="24" t="s">
        <v>473</v>
      </c>
      <c r="U96" s="24"/>
    </row>
    <row r="97" spans="1:23" ht="20.100000000000001" customHeight="1" x14ac:dyDescent="0.2">
      <c r="C97" s="12" t="s">
        <v>249</v>
      </c>
      <c r="D97" s="12" t="s">
        <v>254</v>
      </c>
      <c r="E97" s="12" t="s">
        <v>255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146</v>
      </c>
      <c r="R97" s="23" t="s">
        <v>344</v>
      </c>
      <c r="S97" s="23" t="s">
        <v>285</v>
      </c>
      <c r="U97" s="24"/>
    </row>
    <row r="98" spans="1:23" ht="20.100000000000001" customHeight="1" x14ac:dyDescent="0.2">
      <c r="A98" s="24" t="s">
        <v>384</v>
      </c>
      <c r="B98" s="24" t="s">
        <v>385</v>
      </c>
      <c r="C98" s="5" t="s">
        <v>368</v>
      </c>
      <c r="D98" s="5" t="s">
        <v>452</v>
      </c>
      <c r="E98" s="5" t="s">
        <v>386</v>
      </c>
      <c r="F98" s="5" t="s">
        <v>291</v>
      </c>
      <c r="G98" s="5">
        <v>28</v>
      </c>
      <c r="H98" s="5">
        <v>12</v>
      </c>
      <c r="I98" s="5">
        <v>15</v>
      </c>
      <c r="J98" s="17">
        <f t="shared" si="49"/>
        <v>62</v>
      </c>
      <c r="K98" s="9">
        <f t="shared" si="41"/>
        <v>20</v>
      </c>
      <c r="L98" s="10">
        <f t="shared" si="50"/>
        <v>82</v>
      </c>
      <c r="M98" s="11">
        <f t="shared" si="51"/>
        <v>93.75</v>
      </c>
      <c r="N98" s="11">
        <f t="shared" si="52"/>
        <v>22.5</v>
      </c>
      <c r="O98" s="9">
        <v>6</v>
      </c>
      <c r="P98" s="9">
        <v>6</v>
      </c>
      <c r="Q98" s="23" t="s">
        <v>382</v>
      </c>
      <c r="R98" s="23" t="s">
        <v>383</v>
      </c>
      <c r="S98" s="23"/>
      <c r="T98" s="23" t="s">
        <v>398</v>
      </c>
      <c r="W98" s="24"/>
    </row>
    <row r="99" spans="1:23" ht="20.100000000000001" customHeight="1" x14ac:dyDescent="0.2">
      <c r="A99" s="3">
        <v>105</v>
      </c>
      <c r="B99" s="3">
        <v>125</v>
      </c>
      <c r="C99" s="12" t="s">
        <v>371</v>
      </c>
      <c r="D99" s="12" t="s">
        <v>453</v>
      </c>
      <c r="E99" s="12" t="s">
        <v>379</v>
      </c>
      <c r="F99" s="12" t="s">
        <v>310</v>
      </c>
      <c r="G99" s="12">
        <v>32</v>
      </c>
      <c r="H99" s="12">
        <v>25</v>
      </c>
      <c r="I99" s="12">
        <v>20</v>
      </c>
      <c r="J99" s="17">
        <f t="shared" si="49"/>
        <v>76.5</v>
      </c>
      <c r="K99" s="9">
        <f t="shared" si="41"/>
        <v>28.5</v>
      </c>
      <c r="L99" s="10">
        <f t="shared" si="50"/>
        <v>105</v>
      </c>
      <c r="M99" s="11">
        <f t="shared" si="51"/>
        <v>125</v>
      </c>
      <c r="N99" s="11">
        <f t="shared" si="52"/>
        <v>30</v>
      </c>
      <c r="O99" s="9">
        <v>6</v>
      </c>
      <c r="P99" s="9">
        <v>8</v>
      </c>
      <c r="Q99" s="23" t="s">
        <v>388</v>
      </c>
      <c r="R99" s="23" t="s">
        <v>389</v>
      </c>
      <c r="S99" s="23"/>
      <c r="T99" s="23" t="s">
        <v>397</v>
      </c>
      <c r="W99" s="24"/>
    </row>
    <row r="100" spans="1:23" ht="20.100000000000001" customHeight="1" x14ac:dyDescent="0.2">
      <c r="C100" s="12" t="s">
        <v>371</v>
      </c>
      <c r="D100" s="12" t="s">
        <v>454</v>
      </c>
      <c r="E100" s="12" t="s">
        <v>381</v>
      </c>
      <c r="F100" s="12" t="s">
        <v>291</v>
      </c>
      <c r="G100" s="12">
        <v>30</v>
      </c>
      <c r="H100" s="12">
        <v>30</v>
      </c>
      <c r="I100" s="12">
        <v>20</v>
      </c>
      <c r="J100" s="17">
        <f t="shared" ref="J100" si="53">(G100*$I$2)+(H100*$I$3)</f>
        <v>75</v>
      </c>
      <c r="K100" s="9">
        <f t="shared" ref="K100" si="54">(G100*$I$4)+(H100*$I$5)+(I100*$I$7)</f>
        <v>30</v>
      </c>
      <c r="L100" s="10">
        <f t="shared" ref="L100" si="55">J100+K100</f>
        <v>105</v>
      </c>
      <c r="M100" s="11">
        <f t="shared" ref="M100" si="56">I100*$M$2</f>
        <v>125</v>
      </c>
      <c r="N100" s="11">
        <f t="shared" ref="N100" si="57">I100*$M$3</f>
        <v>30</v>
      </c>
      <c r="O100" s="9">
        <v>7</v>
      </c>
      <c r="P100" s="9">
        <v>9</v>
      </c>
      <c r="Q100" s="23" t="s">
        <v>387</v>
      </c>
      <c r="R100" s="23" t="s">
        <v>393</v>
      </c>
      <c r="S100" s="23"/>
      <c r="T100" s="23" t="s">
        <v>395</v>
      </c>
      <c r="W100" s="24"/>
    </row>
    <row r="101" spans="1:23" ht="20.100000000000001" customHeight="1" x14ac:dyDescent="0.2">
      <c r="C101" s="12" t="s">
        <v>371</v>
      </c>
      <c r="D101" s="12" t="s">
        <v>455</v>
      </c>
      <c r="E101" s="12" t="s">
        <v>406</v>
      </c>
      <c r="F101" s="12" t="s">
        <v>291</v>
      </c>
      <c r="G101" s="12">
        <v>30</v>
      </c>
      <c r="H101" s="12">
        <v>32</v>
      </c>
      <c r="I101" s="12">
        <v>19</v>
      </c>
      <c r="J101" s="17">
        <f t="shared" ref="J101:J102" si="58">(G101*$I$2)+(H101*$I$3)</f>
        <v>76</v>
      </c>
      <c r="K101" s="9">
        <f t="shared" ref="K101:K102" si="59">(G101*$I$4)+(H101*$I$5)+(I101*$I$7)</f>
        <v>31</v>
      </c>
      <c r="L101" s="10">
        <f t="shared" ref="L101:L102" si="60">J101+K101</f>
        <v>107</v>
      </c>
      <c r="M101" s="11">
        <f t="shared" ref="M101:M102" si="61">I101*$M$2</f>
        <v>118.75</v>
      </c>
      <c r="N101" s="11">
        <f t="shared" ref="N101:N102" si="62">I101*$M$3</f>
        <v>28.5</v>
      </c>
      <c r="O101" s="9">
        <v>4</v>
      </c>
      <c r="P101" s="9">
        <v>7</v>
      </c>
      <c r="Q101" s="23" t="s">
        <v>412</v>
      </c>
      <c r="R101" s="23" t="s">
        <v>316</v>
      </c>
      <c r="S101" s="23"/>
      <c r="T101" s="23"/>
      <c r="W101" s="24"/>
    </row>
    <row r="102" spans="1:23" ht="20.100000000000001" customHeight="1" x14ac:dyDescent="0.2">
      <c r="C102" s="12" t="s">
        <v>371</v>
      </c>
      <c r="D102" s="12" t="s">
        <v>456</v>
      </c>
      <c r="E102" s="12" t="s">
        <v>407</v>
      </c>
      <c r="F102" s="12" t="s">
        <v>310</v>
      </c>
      <c r="G102" s="12">
        <v>26</v>
      </c>
      <c r="H102" s="12">
        <v>35</v>
      </c>
      <c r="I102" s="12">
        <v>20</v>
      </c>
      <c r="J102" s="17">
        <f t="shared" si="58"/>
        <v>69.5</v>
      </c>
      <c r="K102" s="9">
        <f t="shared" si="59"/>
        <v>30.5</v>
      </c>
      <c r="L102" s="10">
        <f t="shared" si="60"/>
        <v>100</v>
      </c>
      <c r="M102" s="11">
        <f t="shared" si="61"/>
        <v>125</v>
      </c>
      <c r="N102" s="11">
        <f t="shared" si="62"/>
        <v>30</v>
      </c>
      <c r="O102" s="9">
        <v>4</v>
      </c>
      <c r="P102" s="9">
        <v>7</v>
      </c>
      <c r="Q102" s="23" t="s">
        <v>414</v>
      </c>
      <c r="R102" s="23" t="s">
        <v>415</v>
      </c>
      <c r="S102" s="23" t="s">
        <v>403</v>
      </c>
      <c r="T102" s="23"/>
      <c r="W102" s="24"/>
    </row>
    <row r="103" spans="1:23" ht="20.100000000000001" customHeight="1" x14ac:dyDescent="0.2">
      <c r="A103" s="3">
        <v>120</v>
      </c>
      <c r="B103" s="3">
        <v>140</v>
      </c>
      <c r="C103" s="5" t="s">
        <v>372</v>
      </c>
      <c r="D103" s="5" t="s">
        <v>457</v>
      </c>
      <c r="E103" s="5" t="s">
        <v>378</v>
      </c>
      <c r="F103" s="5" t="s">
        <v>291</v>
      </c>
      <c r="G103" s="5">
        <v>36</v>
      </c>
      <c r="H103" s="5">
        <v>30</v>
      </c>
      <c r="I103" s="5">
        <v>22.5</v>
      </c>
      <c r="J103" s="17">
        <f t="shared" si="49"/>
        <v>87</v>
      </c>
      <c r="K103" s="9">
        <f t="shared" si="41"/>
        <v>33</v>
      </c>
      <c r="L103" s="10">
        <f t="shared" si="50"/>
        <v>120</v>
      </c>
      <c r="M103" s="11">
        <f t="shared" si="51"/>
        <v>140.625</v>
      </c>
      <c r="N103" s="11">
        <f t="shared" si="52"/>
        <v>33.75</v>
      </c>
      <c r="O103" s="9">
        <v>6</v>
      </c>
      <c r="P103" s="9">
        <v>9</v>
      </c>
      <c r="Q103" s="23" t="s">
        <v>435</v>
      </c>
      <c r="R103" s="23" t="s">
        <v>284</v>
      </c>
      <c r="S103" s="23"/>
      <c r="T103" s="23" t="s">
        <v>396</v>
      </c>
      <c r="W103" s="24"/>
    </row>
    <row r="104" spans="1:23" ht="20.100000000000001" customHeight="1" x14ac:dyDescent="0.2">
      <c r="C104" s="5" t="s">
        <v>372</v>
      </c>
      <c r="D104" s="5" t="s">
        <v>458</v>
      </c>
      <c r="E104" s="5" t="s">
        <v>380</v>
      </c>
      <c r="F104" s="5" t="s">
        <v>310</v>
      </c>
      <c r="G104" s="5">
        <v>35</v>
      </c>
      <c r="H104" s="5">
        <v>26</v>
      </c>
      <c r="I104" s="5">
        <v>22</v>
      </c>
      <c r="J104" s="17">
        <f t="shared" si="49"/>
        <v>83</v>
      </c>
      <c r="K104" s="9">
        <f t="shared" si="41"/>
        <v>30.5</v>
      </c>
      <c r="L104" s="10">
        <f t="shared" si="50"/>
        <v>113.5</v>
      </c>
      <c r="M104" s="11">
        <f t="shared" si="51"/>
        <v>137.5</v>
      </c>
      <c r="N104" s="11">
        <f t="shared" si="52"/>
        <v>33</v>
      </c>
      <c r="O104" s="9">
        <v>6</v>
      </c>
      <c r="P104" s="9">
        <v>10</v>
      </c>
      <c r="Q104" s="23" t="s">
        <v>404</v>
      </c>
      <c r="R104" s="23" t="s">
        <v>394</v>
      </c>
      <c r="S104" s="23" t="s">
        <v>464</v>
      </c>
      <c r="T104" s="24"/>
      <c r="W104" s="24"/>
    </row>
    <row r="105" spans="1:23" ht="20.100000000000001" customHeight="1" x14ac:dyDescent="0.2">
      <c r="A105" s="3">
        <v>135</v>
      </c>
      <c r="B105" s="3">
        <v>155</v>
      </c>
      <c r="C105" s="12" t="s">
        <v>369</v>
      </c>
      <c r="D105" s="12" t="s">
        <v>459</v>
      </c>
      <c r="E105" s="12" t="s">
        <v>408</v>
      </c>
      <c r="F105" s="12" t="s">
        <v>291</v>
      </c>
      <c r="G105" s="12">
        <v>39</v>
      </c>
      <c r="H105" s="12">
        <v>24</v>
      </c>
      <c r="I105" s="12">
        <v>24</v>
      </c>
      <c r="J105" s="17">
        <f t="shared" ref="J105:J127" si="63">(G105*$I$2)+(H105*$I$3)</f>
        <v>90</v>
      </c>
      <c r="K105" s="9">
        <f t="shared" si="41"/>
        <v>31.5</v>
      </c>
      <c r="L105" s="10">
        <f t="shared" ref="L105:L127" si="64">J105+K105</f>
        <v>121.5</v>
      </c>
      <c r="M105" s="11">
        <f t="shared" si="51"/>
        <v>150</v>
      </c>
      <c r="N105" s="11">
        <f t="shared" si="52"/>
        <v>36</v>
      </c>
      <c r="O105" s="9">
        <v>7</v>
      </c>
      <c r="P105" s="9">
        <v>7</v>
      </c>
      <c r="Q105" s="9" t="s">
        <v>241</v>
      </c>
      <c r="R105" s="24" t="s">
        <v>411</v>
      </c>
      <c r="S105" s="23" t="s">
        <v>383</v>
      </c>
      <c r="W105" s="24"/>
    </row>
    <row r="106" spans="1:23" ht="20.100000000000001" customHeight="1" x14ac:dyDescent="0.2">
      <c r="A106" s="3">
        <v>165</v>
      </c>
      <c r="B106" s="3">
        <v>180</v>
      </c>
      <c r="C106" s="5" t="s">
        <v>373</v>
      </c>
      <c r="D106" s="5" t="s">
        <v>460</v>
      </c>
      <c r="E106" s="5" t="s">
        <v>377</v>
      </c>
      <c r="F106" s="5" t="s">
        <v>291</v>
      </c>
      <c r="G106" s="5">
        <v>52</v>
      </c>
      <c r="H106" s="5">
        <v>35</v>
      </c>
      <c r="I106" s="5">
        <v>29</v>
      </c>
      <c r="J106" s="17">
        <f t="shared" si="63"/>
        <v>121.5</v>
      </c>
      <c r="K106" s="9">
        <f t="shared" ref="K106:K140" si="65">(G106*$I$4)+(H106*$I$5)+(I106*$I$7)</f>
        <v>43.5</v>
      </c>
      <c r="L106" s="10">
        <f t="shared" si="64"/>
        <v>165</v>
      </c>
      <c r="M106" s="11">
        <f t="shared" si="51"/>
        <v>181.25</v>
      </c>
      <c r="N106" s="11">
        <f t="shared" si="52"/>
        <v>43.5</v>
      </c>
      <c r="O106" s="9">
        <v>4</v>
      </c>
      <c r="P106" s="9">
        <v>16</v>
      </c>
      <c r="Q106" s="23" t="s">
        <v>469</v>
      </c>
      <c r="R106" s="23" t="s">
        <v>405</v>
      </c>
      <c r="S106" s="9" t="s">
        <v>241</v>
      </c>
      <c r="T106" s="24" t="s">
        <v>472</v>
      </c>
      <c r="W106" s="24" t="s">
        <v>471</v>
      </c>
    </row>
    <row r="107" spans="1:23" ht="20.100000000000001" customHeight="1" x14ac:dyDescent="0.2">
      <c r="C107" s="5" t="s">
        <v>373</v>
      </c>
      <c r="D107" s="5" t="s">
        <v>461</v>
      </c>
      <c r="E107" s="5" t="s">
        <v>409</v>
      </c>
      <c r="F107" s="5" t="s">
        <v>310</v>
      </c>
      <c r="G107" s="5">
        <v>46</v>
      </c>
      <c r="H107" s="5">
        <v>50</v>
      </c>
      <c r="I107" s="5">
        <v>29</v>
      </c>
      <c r="J107" s="17">
        <f t="shared" ref="J107" si="66">(G107*$I$2)+(H107*$I$3)</f>
        <v>117</v>
      </c>
      <c r="K107" s="9">
        <f t="shared" ref="K107" si="67">(G107*$I$4)+(H107*$I$5)+(I107*$I$7)</f>
        <v>48</v>
      </c>
      <c r="L107" s="10">
        <f t="shared" ref="L107" si="68">J107+K107</f>
        <v>165</v>
      </c>
      <c r="M107" s="11">
        <f t="shared" ref="M107" si="69">I107*$M$2</f>
        <v>181.25</v>
      </c>
      <c r="N107" s="11">
        <f t="shared" ref="N107" si="70">I107*$M$3</f>
        <v>43.5</v>
      </c>
      <c r="O107" s="9">
        <v>6</v>
      </c>
      <c r="P107" s="9">
        <v>8</v>
      </c>
      <c r="Q107" s="23" t="s">
        <v>422</v>
      </c>
      <c r="R107" s="23" t="s">
        <v>445</v>
      </c>
      <c r="S107" s="23" t="s">
        <v>414</v>
      </c>
      <c r="T107" s="24"/>
      <c r="W107" s="24"/>
    </row>
    <row r="108" spans="1:23" ht="20.100000000000001" customHeight="1" x14ac:dyDescent="0.2">
      <c r="C108" s="5" t="s">
        <v>373</v>
      </c>
      <c r="D108" s="5" t="s">
        <v>465</v>
      </c>
      <c r="E108" s="5" t="s">
        <v>390</v>
      </c>
      <c r="F108" s="5" t="s">
        <v>291</v>
      </c>
      <c r="G108" s="5">
        <v>50</v>
      </c>
      <c r="H108" s="5">
        <v>40</v>
      </c>
      <c r="I108" s="5">
        <v>29</v>
      </c>
      <c r="J108" s="17">
        <f>(G108*$I$2)+(H108*$I$3)</f>
        <v>120</v>
      </c>
      <c r="K108" s="9">
        <f>(G108*$I$4)+(H108*$I$5)+(I108*$I$7)</f>
        <v>45</v>
      </c>
      <c r="L108" s="10">
        <f>J108+K108</f>
        <v>165</v>
      </c>
      <c r="M108" s="11">
        <f>I108*$M$2</f>
        <v>181.25</v>
      </c>
      <c r="N108" s="11">
        <f>I108*$M$3</f>
        <v>43.5</v>
      </c>
      <c r="O108" s="9">
        <v>7</v>
      </c>
      <c r="P108" s="9">
        <v>13</v>
      </c>
      <c r="Q108" s="23" t="s">
        <v>413</v>
      </c>
      <c r="R108" s="24" t="s">
        <v>420</v>
      </c>
      <c r="S108" s="23" t="s">
        <v>392</v>
      </c>
      <c r="T108" s="24" t="s">
        <v>391</v>
      </c>
      <c r="U108" s="24" t="s">
        <v>399</v>
      </c>
      <c r="V108" s="24" t="s">
        <v>402</v>
      </c>
      <c r="W108" s="24"/>
    </row>
    <row r="109" spans="1:23" ht="20.100000000000001" customHeight="1" x14ac:dyDescent="0.2">
      <c r="A109" s="3">
        <v>180</v>
      </c>
      <c r="B109" s="3">
        <v>190</v>
      </c>
      <c r="C109" s="12" t="s">
        <v>429</v>
      </c>
      <c r="D109" s="12" t="s">
        <v>462</v>
      </c>
      <c r="E109" s="12" t="s">
        <v>410</v>
      </c>
      <c r="F109" s="12" t="s">
        <v>291</v>
      </c>
      <c r="G109" s="12">
        <v>52</v>
      </c>
      <c r="H109" s="12">
        <v>50</v>
      </c>
      <c r="I109" s="12">
        <v>30.5</v>
      </c>
      <c r="J109" s="17">
        <f t="shared" si="63"/>
        <v>129</v>
      </c>
      <c r="K109" s="9">
        <f t="shared" si="65"/>
        <v>51</v>
      </c>
      <c r="L109" s="10">
        <f t="shared" si="64"/>
        <v>180</v>
      </c>
      <c r="M109" s="11">
        <f t="shared" si="51"/>
        <v>190.625</v>
      </c>
      <c r="N109" s="11">
        <f t="shared" si="52"/>
        <v>45.75</v>
      </c>
      <c r="O109" s="9">
        <v>6</v>
      </c>
      <c r="P109" s="9">
        <v>12</v>
      </c>
      <c r="Q109" s="23" t="s">
        <v>274</v>
      </c>
      <c r="R109" s="23" t="s">
        <v>430</v>
      </c>
      <c r="S109" s="23" t="s">
        <v>431</v>
      </c>
      <c r="W109" s="24"/>
    </row>
    <row r="110" spans="1:23" ht="20.100000000000001" customHeight="1" x14ac:dyDescent="0.2">
      <c r="A110" s="3">
        <v>190</v>
      </c>
      <c r="B110" s="3">
        <v>190</v>
      </c>
      <c r="C110" s="5" t="s">
        <v>370</v>
      </c>
      <c r="D110" s="5" t="s">
        <v>446</v>
      </c>
      <c r="E110" s="5" t="s">
        <v>423</v>
      </c>
      <c r="F110" s="5" t="s">
        <v>291</v>
      </c>
      <c r="G110" s="5">
        <v>58</v>
      </c>
      <c r="H110" s="5">
        <v>45</v>
      </c>
      <c r="I110" s="5">
        <v>31</v>
      </c>
      <c r="J110" s="17">
        <f t="shared" si="63"/>
        <v>138.5</v>
      </c>
      <c r="K110" s="9">
        <f t="shared" si="65"/>
        <v>51.5</v>
      </c>
      <c r="L110" s="10">
        <f t="shared" si="64"/>
        <v>190</v>
      </c>
      <c r="M110" s="11">
        <f t="shared" si="51"/>
        <v>193.75</v>
      </c>
      <c r="N110" s="11">
        <f t="shared" si="52"/>
        <v>46.5</v>
      </c>
      <c r="O110" s="9">
        <v>6</v>
      </c>
      <c r="P110" s="9">
        <v>12</v>
      </c>
      <c r="Q110" s="23" t="s">
        <v>432</v>
      </c>
      <c r="R110" s="23" t="s">
        <v>364</v>
      </c>
      <c r="S110" s="23" t="s">
        <v>433</v>
      </c>
      <c r="W110" s="24"/>
    </row>
    <row r="111" spans="1:23" ht="20.100000000000001" customHeight="1" x14ac:dyDescent="0.2">
      <c r="A111" s="3">
        <v>210</v>
      </c>
      <c r="B111" s="3">
        <v>205</v>
      </c>
      <c r="C111" s="12" t="s">
        <v>374</v>
      </c>
      <c r="D111" s="12" t="s">
        <v>447</v>
      </c>
      <c r="E111" s="12" t="s">
        <v>424</v>
      </c>
      <c r="F111" s="12" t="s">
        <v>291</v>
      </c>
      <c r="G111" s="12">
        <v>64</v>
      </c>
      <c r="H111" s="12">
        <v>50</v>
      </c>
      <c r="I111" s="12">
        <v>33</v>
      </c>
      <c r="J111" s="17">
        <f t="shared" si="63"/>
        <v>153</v>
      </c>
      <c r="K111" s="9">
        <f t="shared" si="65"/>
        <v>57</v>
      </c>
      <c r="L111" s="10">
        <f t="shared" si="64"/>
        <v>210</v>
      </c>
      <c r="M111" s="11">
        <f t="shared" si="51"/>
        <v>206.25</v>
      </c>
      <c r="N111" s="11">
        <f t="shared" si="52"/>
        <v>49.5</v>
      </c>
      <c r="O111" s="9">
        <v>8</v>
      </c>
      <c r="P111" s="9">
        <v>14</v>
      </c>
      <c r="Q111" s="23" t="s">
        <v>434</v>
      </c>
      <c r="R111" s="23" t="s">
        <v>414</v>
      </c>
      <c r="S111" s="23" t="s">
        <v>435</v>
      </c>
      <c r="W111" s="24"/>
    </row>
    <row r="112" spans="1:23" ht="20.100000000000001" customHeight="1" x14ac:dyDescent="0.2">
      <c r="A112" s="3">
        <v>230</v>
      </c>
      <c r="B112" s="3">
        <v>210</v>
      </c>
      <c r="C112" s="5" t="s">
        <v>375</v>
      </c>
      <c r="D112" s="5" t="s">
        <v>448</v>
      </c>
      <c r="E112" s="5" t="s">
        <v>425</v>
      </c>
      <c r="F112" s="5" t="s">
        <v>291</v>
      </c>
      <c r="G112" s="5">
        <v>68</v>
      </c>
      <c r="H112" s="5">
        <v>60</v>
      </c>
      <c r="I112" s="5">
        <v>32</v>
      </c>
      <c r="J112" s="17">
        <f t="shared" si="63"/>
        <v>166</v>
      </c>
      <c r="K112" s="9">
        <f t="shared" si="65"/>
        <v>64</v>
      </c>
      <c r="L112" s="10">
        <f t="shared" si="64"/>
        <v>230</v>
      </c>
      <c r="M112" s="11">
        <f t="shared" si="51"/>
        <v>200</v>
      </c>
      <c r="N112" s="11">
        <f t="shared" si="52"/>
        <v>48</v>
      </c>
      <c r="O112" s="9">
        <v>8</v>
      </c>
      <c r="P112" s="9">
        <v>14</v>
      </c>
      <c r="Q112" s="23" t="s">
        <v>436</v>
      </c>
      <c r="R112" s="23" t="s">
        <v>274</v>
      </c>
      <c r="S112" s="23" t="s">
        <v>444</v>
      </c>
      <c r="T112" s="23" t="s">
        <v>437</v>
      </c>
      <c r="W112" s="24"/>
    </row>
    <row r="113" spans="1:23" ht="20.100000000000001" customHeight="1" x14ac:dyDescent="0.2">
      <c r="C113" s="5" t="s">
        <v>375</v>
      </c>
      <c r="D113" s="5" t="s">
        <v>449</v>
      </c>
      <c r="E113" s="5" t="s">
        <v>426</v>
      </c>
      <c r="F113" s="5" t="s">
        <v>291</v>
      </c>
      <c r="G113" s="5">
        <v>74</v>
      </c>
      <c r="H113" s="5">
        <v>45</v>
      </c>
      <c r="I113" s="5">
        <v>34</v>
      </c>
      <c r="J113" s="17">
        <f t="shared" ref="J113:J114" si="71">(G113*$I$2)+(H113*$I$3)</f>
        <v>170.5</v>
      </c>
      <c r="K113" s="9">
        <f t="shared" ref="K113:K114" si="72">(G113*$I$4)+(H113*$I$5)+(I113*$I$7)</f>
        <v>59.5</v>
      </c>
      <c r="L113" s="10">
        <f t="shared" ref="L113:L114" si="73">J113+K113</f>
        <v>230</v>
      </c>
      <c r="M113" s="11">
        <f t="shared" ref="M113:M114" si="74">I113*$M$2</f>
        <v>212.5</v>
      </c>
      <c r="N113" s="11">
        <f t="shared" ref="N113:N114" si="75">I113*$M$3</f>
        <v>51</v>
      </c>
      <c r="O113" s="9">
        <v>8</v>
      </c>
      <c r="P113" s="9">
        <v>12</v>
      </c>
      <c r="Q113" s="23" t="s">
        <v>420</v>
      </c>
      <c r="R113" s="23" t="s">
        <v>440</v>
      </c>
      <c r="S113" s="24" t="s">
        <v>293</v>
      </c>
      <c r="T113" s="24" t="s">
        <v>441</v>
      </c>
      <c r="W113" s="24"/>
    </row>
    <row r="114" spans="1:23" ht="20.100000000000001" customHeight="1" x14ac:dyDescent="0.2">
      <c r="C114" s="5" t="s">
        <v>375</v>
      </c>
      <c r="D114" s="5" t="s">
        <v>450</v>
      </c>
      <c r="E114" s="5" t="s">
        <v>427</v>
      </c>
      <c r="F114" s="5" t="s">
        <v>291</v>
      </c>
      <c r="G114" s="5">
        <v>64</v>
      </c>
      <c r="H114" s="5">
        <v>72</v>
      </c>
      <c r="I114" s="5">
        <v>34</v>
      </c>
      <c r="J114" s="17">
        <f t="shared" si="71"/>
        <v>164</v>
      </c>
      <c r="K114" s="9">
        <f t="shared" si="72"/>
        <v>68</v>
      </c>
      <c r="L114" s="10">
        <f t="shared" si="73"/>
        <v>232</v>
      </c>
      <c r="M114" s="11">
        <f t="shared" si="74"/>
        <v>212.5</v>
      </c>
      <c r="N114" s="11">
        <f t="shared" si="75"/>
        <v>51</v>
      </c>
      <c r="O114" s="9">
        <v>10</v>
      </c>
      <c r="P114" s="9">
        <v>16</v>
      </c>
      <c r="Q114" s="23" t="s">
        <v>438</v>
      </c>
      <c r="R114" s="23" t="s">
        <v>431</v>
      </c>
      <c r="S114" s="23" t="s">
        <v>439</v>
      </c>
      <c r="W114" s="24"/>
    </row>
    <row r="115" spans="1:23" ht="20.100000000000001" customHeight="1" x14ac:dyDescent="0.2">
      <c r="A115" s="3">
        <v>250</v>
      </c>
      <c r="B115" s="3">
        <v>215</v>
      </c>
      <c r="C115" s="12" t="s">
        <v>376</v>
      </c>
      <c r="D115" s="12" t="s">
        <v>451</v>
      </c>
      <c r="E115" s="12" t="s">
        <v>428</v>
      </c>
      <c r="F115" s="12" t="s">
        <v>291</v>
      </c>
      <c r="G115" s="12">
        <v>78</v>
      </c>
      <c r="H115" s="12">
        <v>57</v>
      </c>
      <c r="I115" s="12">
        <v>35</v>
      </c>
      <c r="J115" s="17">
        <f t="shared" si="63"/>
        <v>184.5</v>
      </c>
      <c r="K115" s="9">
        <f t="shared" si="65"/>
        <v>67.5</v>
      </c>
      <c r="L115" s="10">
        <f t="shared" si="64"/>
        <v>252</v>
      </c>
      <c r="M115" s="11">
        <f t="shared" si="51"/>
        <v>218.75</v>
      </c>
      <c r="N115" s="11">
        <f t="shared" si="52"/>
        <v>52.5</v>
      </c>
      <c r="O115" s="9">
        <v>8</v>
      </c>
      <c r="P115" s="9">
        <v>16</v>
      </c>
      <c r="Q115" s="23" t="s">
        <v>443</v>
      </c>
      <c r="R115" s="23" t="s">
        <v>442</v>
      </c>
      <c r="S115" s="23" t="s">
        <v>435</v>
      </c>
      <c r="W115" s="24"/>
    </row>
    <row r="116" spans="1:23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63"/>
        <v>0</v>
      </c>
      <c r="K116" s="9">
        <f t="shared" si="65"/>
        <v>0</v>
      </c>
      <c r="L116" s="10">
        <f t="shared" si="64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23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63"/>
        <v>0</v>
      </c>
      <c r="K117" s="9">
        <f t="shared" si="65"/>
        <v>0</v>
      </c>
      <c r="L117" s="10">
        <f t="shared" si="64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23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3"/>
        <v>0</v>
      </c>
      <c r="K118" s="9">
        <f t="shared" si="65"/>
        <v>0</v>
      </c>
      <c r="L118" s="10">
        <f t="shared" si="64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23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3"/>
        <v>0</v>
      </c>
      <c r="K119" s="9">
        <f t="shared" si="65"/>
        <v>0</v>
      </c>
      <c r="L119" s="10">
        <f t="shared" si="64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23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3"/>
        <v>0</v>
      </c>
      <c r="K120" s="9">
        <f t="shared" si="65"/>
        <v>0</v>
      </c>
      <c r="L120" s="10">
        <f t="shared" si="64"/>
        <v>0</v>
      </c>
      <c r="M120" s="11">
        <f t="shared" ref="M120:M163" si="76">I120*$M$2</f>
        <v>0</v>
      </c>
      <c r="N120" s="11">
        <f t="shared" ref="N120:N163" si="77">I120*$M$3</f>
        <v>0</v>
      </c>
      <c r="O120" s="9"/>
      <c r="P120" s="9"/>
      <c r="Q120" s="9"/>
      <c r="R120" s="9"/>
      <c r="S120" s="9"/>
    </row>
    <row r="121" spans="1:23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3"/>
        <v>0</v>
      </c>
      <c r="K121" s="9">
        <f t="shared" si="65"/>
        <v>0</v>
      </c>
      <c r="L121" s="10">
        <f t="shared" si="64"/>
        <v>0</v>
      </c>
      <c r="M121" s="11">
        <f t="shared" si="76"/>
        <v>0</v>
      </c>
      <c r="N121" s="11">
        <f t="shared" si="77"/>
        <v>0</v>
      </c>
      <c r="O121" s="9"/>
      <c r="P121" s="9"/>
      <c r="Q121" s="9"/>
      <c r="R121" s="9"/>
      <c r="S121" s="9"/>
    </row>
    <row r="122" spans="1:23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3"/>
        <v>0</v>
      </c>
      <c r="K122" s="9">
        <f t="shared" si="65"/>
        <v>0</v>
      </c>
      <c r="L122" s="10">
        <f t="shared" si="64"/>
        <v>0</v>
      </c>
      <c r="M122" s="11">
        <f t="shared" si="76"/>
        <v>0</v>
      </c>
      <c r="N122" s="11">
        <f t="shared" si="77"/>
        <v>0</v>
      </c>
      <c r="O122" s="9"/>
      <c r="P122" s="9"/>
      <c r="Q122" s="9"/>
      <c r="R122" s="9"/>
      <c r="S122" s="9"/>
    </row>
    <row r="123" spans="1:23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3"/>
        <v>0</v>
      </c>
      <c r="K123" s="9">
        <f t="shared" si="65"/>
        <v>0</v>
      </c>
      <c r="L123" s="10">
        <f t="shared" si="64"/>
        <v>0</v>
      </c>
      <c r="M123" s="11">
        <f t="shared" si="76"/>
        <v>0</v>
      </c>
      <c r="N123" s="11">
        <f t="shared" si="77"/>
        <v>0</v>
      </c>
      <c r="O123" s="9"/>
      <c r="P123" s="9"/>
      <c r="Q123" s="9"/>
      <c r="R123" s="9"/>
      <c r="S123" s="9"/>
    </row>
    <row r="124" spans="1:23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3"/>
        <v>0</v>
      </c>
      <c r="K124" s="9">
        <f t="shared" si="65"/>
        <v>0</v>
      </c>
      <c r="L124" s="10">
        <f t="shared" si="64"/>
        <v>0</v>
      </c>
      <c r="M124" s="11">
        <f t="shared" si="76"/>
        <v>0</v>
      </c>
      <c r="N124" s="11">
        <f t="shared" si="77"/>
        <v>0</v>
      </c>
      <c r="O124" s="9"/>
      <c r="P124" s="9"/>
      <c r="Q124" s="9"/>
      <c r="R124" s="9"/>
      <c r="S124" s="9"/>
    </row>
    <row r="125" spans="1:23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3"/>
        <v>0</v>
      </c>
      <c r="K125" s="9">
        <f t="shared" si="65"/>
        <v>0</v>
      </c>
      <c r="L125" s="10">
        <f t="shared" si="64"/>
        <v>0</v>
      </c>
      <c r="M125" s="11">
        <f t="shared" si="76"/>
        <v>0</v>
      </c>
      <c r="N125" s="11">
        <f t="shared" si="77"/>
        <v>0</v>
      </c>
      <c r="O125" s="9"/>
      <c r="P125" s="9"/>
      <c r="Q125" s="9"/>
      <c r="R125" s="9"/>
      <c r="S125" s="9"/>
    </row>
    <row r="126" spans="1:23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63"/>
        <v>0</v>
      </c>
      <c r="K126" s="9">
        <f t="shared" si="65"/>
        <v>0</v>
      </c>
      <c r="L126" s="10">
        <f t="shared" si="64"/>
        <v>0</v>
      </c>
      <c r="M126" s="11">
        <f t="shared" si="76"/>
        <v>0</v>
      </c>
      <c r="N126" s="11">
        <f t="shared" si="77"/>
        <v>0</v>
      </c>
      <c r="O126" s="9"/>
      <c r="P126" s="9"/>
      <c r="Q126" s="9"/>
      <c r="R126" s="9"/>
      <c r="S126" s="9"/>
    </row>
    <row r="127" spans="1:23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3"/>
        <v>0</v>
      </c>
      <c r="K127" s="9">
        <f t="shared" si="65"/>
        <v>0</v>
      </c>
      <c r="L127" s="10">
        <f t="shared" si="64"/>
        <v>0</v>
      </c>
      <c r="M127" s="11">
        <f t="shared" si="76"/>
        <v>0</v>
      </c>
      <c r="N127" s="11">
        <f t="shared" si="77"/>
        <v>0</v>
      </c>
      <c r="O127" s="9"/>
      <c r="P127" s="9"/>
      <c r="Q127" s="9"/>
      <c r="R127" s="9"/>
      <c r="S127" s="9"/>
    </row>
    <row r="128" spans="1:23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ref="J128:J163" si="78">(G128*$I$2)+(H128*$I$3)</f>
        <v>0</v>
      </c>
      <c r="K128" s="9">
        <f t="shared" si="65"/>
        <v>0</v>
      </c>
      <c r="L128" s="10">
        <f t="shared" ref="L128:L163" si="79">J128+K128</f>
        <v>0</v>
      </c>
      <c r="M128" s="11">
        <f t="shared" si="76"/>
        <v>0</v>
      </c>
      <c r="N128" s="11">
        <f t="shared" si="77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78"/>
        <v>0</v>
      </c>
      <c r="K129" s="9">
        <f t="shared" si="65"/>
        <v>0</v>
      </c>
      <c r="L129" s="10">
        <f t="shared" si="79"/>
        <v>0</v>
      </c>
      <c r="M129" s="11">
        <f t="shared" si="76"/>
        <v>0</v>
      </c>
      <c r="N129" s="11">
        <f t="shared" si="77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78"/>
        <v>0</v>
      </c>
      <c r="K130" s="9">
        <f t="shared" si="65"/>
        <v>0</v>
      </c>
      <c r="L130" s="10">
        <f t="shared" si="79"/>
        <v>0</v>
      </c>
      <c r="M130" s="11">
        <f t="shared" si="76"/>
        <v>0</v>
      </c>
      <c r="N130" s="11">
        <f t="shared" si="77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78"/>
        <v>0</v>
      </c>
      <c r="K131" s="9">
        <f t="shared" si="65"/>
        <v>0</v>
      </c>
      <c r="L131" s="10">
        <f t="shared" si="79"/>
        <v>0</v>
      </c>
      <c r="M131" s="11">
        <f t="shared" si="76"/>
        <v>0</v>
      </c>
      <c r="N131" s="11">
        <f t="shared" si="77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78"/>
        <v>0</v>
      </c>
      <c r="K132" s="9">
        <f t="shared" si="65"/>
        <v>0</v>
      </c>
      <c r="L132" s="10">
        <f t="shared" si="79"/>
        <v>0</v>
      </c>
      <c r="M132" s="11">
        <f t="shared" si="76"/>
        <v>0</v>
      </c>
      <c r="N132" s="11">
        <f t="shared" si="77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78"/>
        <v>0</v>
      </c>
      <c r="K133" s="9">
        <f t="shared" si="65"/>
        <v>0</v>
      </c>
      <c r="L133" s="10">
        <f t="shared" si="79"/>
        <v>0</v>
      </c>
      <c r="M133" s="11">
        <f t="shared" si="76"/>
        <v>0</v>
      </c>
      <c r="N133" s="11">
        <f t="shared" si="77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78"/>
        <v>0</v>
      </c>
      <c r="K134" s="9">
        <f t="shared" si="65"/>
        <v>0</v>
      </c>
      <c r="L134" s="10">
        <f t="shared" si="79"/>
        <v>0</v>
      </c>
      <c r="M134" s="11">
        <f t="shared" si="76"/>
        <v>0</v>
      </c>
      <c r="N134" s="11">
        <f t="shared" si="77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78"/>
        <v>0</v>
      </c>
      <c r="K135" s="9">
        <f t="shared" si="65"/>
        <v>0</v>
      </c>
      <c r="L135" s="10">
        <f t="shared" si="79"/>
        <v>0</v>
      </c>
      <c r="M135" s="11">
        <f t="shared" si="76"/>
        <v>0</v>
      </c>
      <c r="N135" s="11">
        <f t="shared" si="77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78"/>
        <v>0</v>
      </c>
      <c r="K136" s="9">
        <f t="shared" si="65"/>
        <v>0</v>
      </c>
      <c r="L136" s="10">
        <f t="shared" si="79"/>
        <v>0</v>
      </c>
      <c r="M136" s="11">
        <f t="shared" si="76"/>
        <v>0</v>
      </c>
      <c r="N136" s="11">
        <f t="shared" si="77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78"/>
        <v>0</v>
      </c>
      <c r="K137" s="9">
        <f t="shared" si="65"/>
        <v>0</v>
      </c>
      <c r="L137" s="10">
        <f t="shared" si="79"/>
        <v>0</v>
      </c>
      <c r="M137" s="11">
        <f t="shared" si="76"/>
        <v>0</v>
      </c>
      <c r="N137" s="11">
        <f t="shared" si="77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78"/>
        <v>0</v>
      </c>
      <c r="K138" s="9">
        <f t="shared" si="65"/>
        <v>0</v>
      </c>
      <c r="L138" s="10">
        <f t="shared" si="79"/>
        <v>0</v>
      </c>
      <c r="M138" s="11">
        <f t="shared" si="76"/>
        <v>0</v>
      </c>
      <c r="N138" s="11">
        <f t="shared" si="77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78"/>
        <v>0</v>
      </c>
      <c r="K139" s="9">
        <f t="shared" si="65"/>
        <v>0</v>
      </c>
      <c r="L139" s="10">
        <f t="shared" si="79"/>
        <v>0</v>
      </c>
      <c r="M139" s="11">
        <f t="shared" si="76"/>
        <v>0</v>
      </c>
      <c r="N139" s="11">
        <f t="shared" si="77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78"/>
        <v>0</v>
      </c>
      <c r="K140" s="9">
        <f t="shared" si="65"/>
        <v>0</v>
      </c>
      <c r="L140" s="10">
        <f t="shared" si="79"/>
        <v>0</v>
      </c>
      <c r="M140" s="11">
        <f t="shared" si="76"/>
        <v>0</v>
      </c>
      <c r="N140" s="11">
        <f t="shared" si="77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78"/>
        <v>0</v>
      </c>
      <c r="K141" s="9">
        <f t="shared" ref="K141:K163" si="80">(G141*$I$4)+(H141*$I$5)+(I141*$I$7)</f>
        <v>0</v>
      </c>
      <c r="L141" s="10">
        <f t="shared" si="79"/>
        <v>0</v>
      </c>
      <c r="M141" s="11">
        <f t="shared" si="76"/>
        <v>0</v>
      </c>
      <c r="N141" s="11">
        <f t="shared" si="77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78"/>
        <v>0</v>
      </c>
      <c r="K142" s="9">
        <f t="shared" si="80"/>
        <v>0</v>
      </c>
      <c r="L142" s="10">
        <f t="shared" si="79"/>
        <v>0</v>
      </c>
      <c r="M142" s="11">
        <f t="shared" si="76"/>
        <v>0</v>
      </c>
      <c r="N142" s="11">
        <f t="shared" si="77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78"/>
        <v>0</v>
      </c>
      <c r="K143" s="9">
        <f t="shared" si="80"/>
        <v>0</v>
      </c>
      <c r="L143" s="10">
        <f t="shared" si="79"/>
        <v>0</v>
      </c>
      <c r="M143" s="11">
        <f t="shared" si="76"/>
        <v>0</v>
      </c>
      <c r="N143" s="11">
        <f t="shared" si="77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78"/>
        <v>0</v>
      </c>
      <c r="K144" s="9">
        <f t="shared" si="80"/>
        <v>0</v>
      </c>
      <c r="L144" s="10">
        <f t="shared" si="79"/>
        <v>0</v>
      </c>
      <c r="M144" s="11">
        <f t="shared" si="76"/>
        <v>0</v>
      </c>
      <c r="N144" s="11">
        <f t="shared" si="77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78"/>
        <v>0</v>
      </c>
      <c r="K145" s="9">
        <f t="shared" si="80"/>
        <v>0</v>
      </c>
      <c r="L145" s="10">
        <f t="shared" si="79"/>
        <v>0</v>
      </c>
      <c r="M145" s="11">
        <f t="shared" si="76"/>
        <v>0</v>
      </c>
      <c r="N145" s="11">
        <f t="shared" si="77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78"/>
        <v>0</v>
      </c>
      <c r="K146" s="9">
        <f t="shared" si="80"/>
        <v>0</v>
      </c>
      <c r="L146" s="10">
        <f t="shared" si="79"/>
        <v>0</v>
      </c>
      <c r="M146" s="11">
        <f t="shared" si="76"/>
        <v>0</v>
      </c>
      <c r="N146" s="11">
        <f t="shared" si="77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78"/>
        <v>0</v>
      </c>
      <c r="K147" s="9">
        <f t="shared" si="80"/>
        <v>0</v>
      </c>
      <c r="L147" s="10">
        <f t="shared" si="79"/>
        <v>0</v>
      </c>
      <c r="M147" s="11">
        <f t="shared" si="76"/>
        <v>0</v>
      </c>
      <c r="N147" s="11">
        <f t="shared" si="77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78"/>
        <v>0</v>
      </c>
      <c r="K148" s="9">
        <f t="shared" si="80"/>
        <v>0</v>
      </c>
      <c r="L148" s="10">
        <f t="shared" si="79"/>
        <v>0</v>
      </c>
      <c r="M148" s="11">
        <f t="shared" si="76"/>
        <v>0</v>
      </c>
      <c r="N148" s="11">
        <f t="shared" si="77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78"/>
        <v>0</v>
      </c>
      <c r="K149" s="9">
        <f t="shared" si="80"/>
        <v>0</v>
      </c>
      <c r="L149" s="10">
        <f t="shared" si="79"/>
        <v>0</v>
      </c>
      <c r="M149" s="11">
        <f t="shared" si="76"/>
        <v>0</v>
      </c>
      <c r="N149" s="11">
        <f t="shared" si="77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78"/>
        <v>0</v>
      </c>
      <c r="K150" s="9">
        <f t="shared" si="80"/>
        <v>0</v>
      </c>
      <c r="L150" s="10">
        <f t="shared" si="79"/>
        <v>0</v>
      </c>
      <c r="M150" s="11">
        <f t="shared" si="76"/>
        <v>0</v>
      </c>
      <c r="N150" s="11">
        <f t="shared" si="77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78"/>
        <v>0</v>
      </c>
      <c r="K151" s="9">
        <f t="shared" si="80"/>
        <v>0</v>
      </c>
      <c r="L151" s="10">
        <f t="shared" si="79"/>
        <v>0</v>
      </c>
      <c r="M151" s="11">
        <f t="shared" si="76"/>
        <v>0</v>
      </c>
      <c r="N151" s="11">
        <f t="shared" si="77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78"/>
        <v>0</v>
      </c>
      <c r="K152" s="9">
        <f t="shared" si="80"/>
        <v>0</v>
      </c>
      <c r="L152" s="10">
        <f t="shared" si="79"/>
        <v>0</v>
      </c>
      <c r="M152" s="11">
        <f t="shared" si="76"/>
        <v>0</v>
      </c>
      <c r="N152" s="11">
        <f t="shared" si="77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78"/>
        <v>0</v>
      </c>
      <c r="K153" s="9">
        <f t="shared" si="80"/>
        <v>0</v>
      </c>
      <c r="L153" s="10">
        <f t="shared" si="79"/>
        <v>0</v>
      </c>
      <c r="M153" s="11">
        <f t="shared" si="76"/>
        <v>0</v>
      </c>
      <c r="N153" s="11">
        <f t="shared" si="77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78"/>
        <v>0</v>
      </c>
      <c r="K154" s="9">
        <f t="shared" si="80"/>
        <v>0</v>
      </c>
      <c r="L154" s="10">
        <f t="shared" si="79"/>
        <v>0</v>
      </c>
      <c r="M154" s="11">
        <f t="shared" si="76"/>
        <v>0</v>
      </c>
      <c r="N154" s="11">
        <f t="shared" si="77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78"/>
        <v>0</v>
      </c>
      <c r="K155" s="9">
        <f t="shared" si="80"/>
        <v>0</v>
      </c>
      <c r="L155" s="10">
        <f t="shared" si="79"/>
        <v>0</v>
      </c>
      <c r="M155" s="11">
        <f t="shared" si="76"/>
        <v>0</v>
      </c>
      <c r="N155" s="11">
        <f t="shared" si="77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78"/>
        <v>0</v>
      </c>
      <c r="K156" s="9">
        <f t="shared" si="80"/>
        <v>0</v>
      </c>
      <c r="L156" s="10">
        <f t="shared" si="79"/>
        <v>0</v>
      </c>
      <c r="M156" s="11">
        <f t="shared" si="76"/>
        <v>0</v>
      </c>
      <c r="N156" s="11">
        <f t="shared" si="77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78"/>
        <v>0</v>
      </c>
      <c r="K157" s="9">
        <f t="shared" si="80"/>
        <v>0</v>
      </c>
      <c r="L157" s="10">
        <f t="shared" si="79"/>
        <v>0</v>
      </c>
      <c r="M157" s="11">
        <f t="shared" si="76"/>
        <v>0</v>
      </c>
      <c r="N157" s="11">
        <f t="shared" si="77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78"/>
        <v>0</v>
      </c>
      <c r="K158" s="9">
        <f t="shared" si="80"/>
        <v>0</v>
      </c>
      <c r="L158" s="10">
        <f t="shared" si="79"/>
        <v>0</v>
      </c>
      <c r="M158" s="11">
        <f t="shared" si="76"/>
        <v>0</v>
      </c>
      <c r="N158" s="11">
        <f t="shared" si="77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78"/>
        <v>0</v>
      </c>
      <c r="K159" s="9">
        <f t="shared" si="80"/>
        <v>0</v>
      </c>
      <c r="L159" s="10">
        <f t="shared" si="79"/>
        <v>0</v>
      </c>
      <c r="M159" s="11">
        <f t="shared" si="76"/>
        <v>0</v>
      </c>
      <c r="N159" s="11">
        <f t="shared" si="77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78"/>
        <v>0</v>
      </c>
      <c r="K160" s="9">
        <f t="shared" si="80"/>
        <v>0</v>
      </c>
      <c r="L160" s="10">
        <f t="shared" si="79"/>
        <v>0</v>
      </c>
      <c r="M160" s="11">
        <f t="shared" si="76"/>
        <v>0</v>
      </c>
      <c r="N160" s="11">
        <f t="shared" si="77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78"/>
        <v>0</v>
      </c>
      <c r="K161" s="9">
        <f t="shared" si="80"/>
        <v>0</v>
      </c>
      <c r="L161" s="10">
        <f t="shared" si="79"/>
        <v>0</v>
      </c>
      <c r="M161" s="11">
        <f t="shared" si="76"/>
        <v>0</v>
      </c>
      <c r="N161" s="11">
        <f t="shared" si="77"/>
        <v>0</v>
      </c>
      <c r="O161" s="9"/>
      <c r="P161" s="9"/>
      <c r="Q161" s="9"/>
      <c r="R161" s="9"/>
      <c r="S161" s="9"/>
    </row>
    <row r="162" spans="3:19" ht="20.100000000000001" customHeight="1" x14ac:dyDescent="0.2">
      <c r="C162" s="9"/>
      <c r="D162" s="9"/>
      <c r="E162" s="9"/>
      <c r="F162" s="9"/>
      <c r="G162" s="9"/>
      <c r="H162" s="9"/>
      <c r="I162" s="9"/>
      <c r="J162" s="17">
        <f t="shared" si="78"/>
        <v>0</v>
      </c>
      <c r="K162" s="9">
        <f t="shared" si="80"/>
        <v>0</v>
      </c>
      <c r="L162" s="10">
        <f t="shared" si="79"/>
        <v>0</v>
      </c>
      <c r="M162" s="11">
        <f t="shared" si="76"/>
        <v>0</v>
      </c>
      <c r="N162" s="11">
        <f t="shared" si="77"/>
        <v>0</v>
      </c>
      <c r="O162" s="9"/>
      <c r="P162" s="9"/>
      <c r="Q162" s="9"/>
      <c r="R162" s="9"/>
      <c r="S162" s="9"/>
    </row>
    <row r="163" spans="3:19" ht="20.100000000000001" customHeight="1" x14ac:dyDescent="0.2">
      <c r="C163" s="9"/>
      <c r="D163" s="9"/>
      <c r="E163" s="9"/>
      <c r="F163" s="9"/>
      <c r="G163" s="9"/>
      <c r="H163" s="9"/>
      <c r="I163" s="9"/>
      <c r="J163" s="17">
        <f t="shared" si="78"/>
        <v>0</v>
      </c>
      <c r="K163" s="9">
        <f t="shared" si="80"/>
        <v>0</v>
      </c>
      <c r="L163" s="10">
        <f t="shared" si="79"/>
        <v>0</v>
      </c>
      <c r="M163" s="11">
        <f t="shared" si="76"/>
        <v>0</v>
      </c>
      <c r="N163" s="11">
        <f t="shared" si="77"/>
        <v>0</v>
      </c>
      <c r="O163" s="9"/>
      <c r="P163" s="9"/>
      <c r="Q163" s="9"/>
      <c r="R163" s="9"/>
      <c r="S163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5B27-9E4B-4195-A664-98F7198337D3}">
  <dimension ref="A1:U14"/>
  <sheetViews>
    <sheetView workbookViewId="0">
      <selection activeCell="P15" sqref="P15"/>
    </sheetView>
  </sheetViews>
  <sheetFormatPr defaultColWidth="14.625" defaultRowHeight="18" customHeight="1" x14ac:dyDescent="0.2"/>
  <sheetData>
    <row r="1" spans="1:21" ht="18" customHeight="1" x14ac:dyDescent="0.2">
      <c r="C1" s="3"/>
      <c r="D1" s="3"/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L1" s="3"/>
      <c r="M1" s="3" t="s">
        <v>5</v>
      </c>
    </row>
    <row r="2" spans="1:21" ht="18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</row>
    <row r="3" spans="1:21" ht="18" customHeight="1" x14ac:dyDescent="0.2">
      <c r="C3" s="3"/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</row>
    <row r="4" spans="1:21" ht="18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J4" s="3"/>
      <c r="K4" s="3"/>
      <c r="L4" s="3"/>
      <c r="M4" s="3"/>
    </row>
    <row r="5" spans="1:21" ht="18" customHeight="1" x14ac:dyDescent="0.2">
      <c r="C5" s="3"/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J5" s="3"/>
      <c r="K5" s="3"/>
      <c r="L5" s="3"/>
      <c r="M5" s="3"/>
    </row>
    <row r="6" spans="1:21" ht="18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K6" s="3"/>
      <c r="L6" s="3"/>
      <c r="M6" s="3"/>
    </row>
    <row r="7" spans="1:21" ht="18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J7" s="3"/>
      <c r="K7" s="3"/>
      <c r="L7" s="3"/>
      <c r="M7" s="3"/>
    </row>
    <row r="9" spans="1:21" ht="18" customHeight="1" x14ac:dyDescent="0.2">
      <c r="A9" s="3"/>
      <c r="B9" s="3"/>
      <c r="C9" s="3"/>
      <c r="E9" s="3"/>
      <c r="F9" s="3" t="s">
        <v>12</v>
      </c>
      <c r="G9" s="3" t="s">
        <v>15</v>
      </c>
      <c r="H9" s="3" t="s">
        <v>22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U9" s="32" t="s">
        <v>477</v>
      </c>
    </row>
    <row r="10" spans="1:21" ht="18" customHeight="1" x14ac:dyDescent="0.2">
      <c r="A10" s="3" t="s">
        <v>31</v>
      </c>
      <c r="B10" s="3" t="s">
        <v>32</v>
      </c>
      <c r="C10" s="28" t="s">
        <v>482</v>
      </c>
      <c r="D10" s="4" t="s">
        <v>481</v>
      </c>
      <c r="E10" s="4" t="s">
        <v>35</v>
      </c>
      <c r="F10" s="5" t="s">
        <v>37</v>
      </c>
      <c r="G10" s="6" t="s">
        <v>38</v>
      </c>
      <c r="H10" s="7" t="s">
        <v>39</v>
      </c>
      <c r="I10" s="14" t="s">
        <v>11</v>
      </c>
      <c r="J10" s="14" t="s">
        <v>25</v>
      </c>
      <c r="K10" s="15" t="s">
        <v>40</v>
      </c>
      <c r="L10" s="16" t="s">
        <v>21</v>
      </c>
      <c r="M10" s="16" t="s">
        <v>28</v>
      </c>
      <c r="N10" s="8" t="s">
        <v>41</v>
      </c>
      <c r="O10" s="8" t="s">
        <v>42</v>
      </c>
      <c r="P10" s="4" t="s">
        <v>43</v>
      </c>
      <c r="Q10" s="4" t="s">
        <v>44</v>
      </c>
      <c r="R10" s="4" t="s">
        <v>45</v>
      </c>
      <c r="S10" s="28" t="s">
        <v>319</v>
      </c>
      <c r="U10" s="33" t="s">
        <v>476</v>
      </c>
    </row>
    <row r="11" spans="1:21" ht="18" customHeight="1" x14ac:dyDescent="0.2">
      <c r="A11" s="3">
        <v>24</v>
      </c>
      <c r="B11" s="3">
        <v>20</v>
      </c>
      <c r="C11" s="31" t="s">
        <v>483</v>
      </c>
      <c r="D11" s="30">
        <v>2</v>
      </c>
      <c r="E11" s="31" t="s">
        <v>488</v>
      </c>
      <c r="F11" s="30">
        <v>6</v>
      </c>
      <c r="G11" s="30">
        <v>6</v>
      </c>
      <c r="H11" s="30">
        <v>3</v>
      </c>
      <c r="I11" s="17">
        <f>(F11*$I$2)+(G11*$I$3)+(H11*$I$6)</f>
        <v>15</v>
      </c>
      <c r="J11" s="9">
        <f t="shared" ref="J11:J13" si="1">(F11*$I$4)+(G11*$I$5)+(H11*$I$7)</f>
        <v>6</v>
      </c>
      <c r="K11" s="10">
        <f t="shared" ref="K11:K13" si="2">I11+J11</f>
        <v>21</v>
      </c>
      <c r="L11" s="11">
        <f>H11*$M$2</f>
        <v>18.75</v>
      </c>
      <c r="M11" s="11">
        <f>H11*$M$3</f>
        <v>4.5</v>
      </c>
      <c r="N11" s="9">
        <v>1</v>
      </c>
      <c r="O11" s="9">
        <v>1</v>
      </c>
      <c r="P11" s="23" t="s">
        <v>484</v>
      </c>
      <c r="Q11" s="23" t="s">
        <v>479</v>
      </c>
      <c r="R11" s="23" t="s">
        <v>478</v>
      </c>
      <c r="S11" s="3"/>
    </row>
    <row r="12" spans="1:21" ht="18" customHeight="1" x14ac:dyDescent="0.2">
      <c r="A12" s="3">
        <v>135</v>
      </c>
      <c r="B12" s="3">
        <v>155</v>
      </c>
      <c r="C12" s="30" t="s">
        <v>369</v>
      </c>
      <c r="D12" s="30">
        <v>4</v>
      </c>
      <c r="E12" s="31" t="s">
        <v>480</v>
      </c>
      <c r="F12" s="30">
        <v>40</v>
      </c>
      <c r="G12" s="30">
        <v>20</v>
      </c>
      <c r="H12" s="30">
        <v>20</v>
      </c>
      <c r="I12" s="17">
        <f t="shared" ref="I12:I13" si="3">(F12*$I$2)+(G12*$I$3)</f>
        <v>90</v>
      </c>
      <c r="J12" s="9">
        <f t="shared" si="1"/>
        <v>30</v>
      </c>
      <c r="K12" s="10">
        <f t="shared" si="2"/>
        <v>120</v>
      </c>
      <c r="L12" s="11">
        <f t="shared" ref="L12:L13" si="4">H12*$M$2</f>
        <v>125</v>
      </c>
      <c r="M12" s="11">
        <f t="shared" ref="M12:M13" si="5">H12*$M$3</f>
        <v>30</v>
      </c>
      <c r="N12" s="9">
        <v>1</v>
      </c>
      <c r="O12" s="9">
        <v>1</v>
      </c>
      <c r="P12" s="23" t="s">
        <v>487</v>
      </c>
      <c r="Q12" s="23" t="s">
        <v>485</v>
      </c>
      <c r="R12" s="9"/>
      <c r="S12" s="3"/>
    </row>
    <row r="13" spans="1:21" ht="18" customHeight="1" x14ac:dyDescent="0.2">
      <c r="A13" s="3">
        <v>9</v>
      </c>
      <c r="B13" s="3">
        <v>10</v>
      </c>
      <c r="C13" s="31" t="s">
        <v>486</v>
      </c>
      <c r="D13" s="30">
        <v>1</v>
      </c>
      <c r="E13" s="31" t="s">
        <v>489</v>
      </c>
      <c r="F13" s="30">
        <v>3</v>
      </c>
      <c r="G13" s="30">
        <v>1</v>
      </c>
      <c r="H13" s="30">
        <v>1.5</v>
      </c>
      <c r="I13" s="17">
        <f t="shared" si="3"/>
        <v>6.5</v>
      </c>
      <c r="J13" s="9">
        <f t="shared" si="1"/>
        <v>2</v>
      </c>
      <c r="K13" s="10">
        <f t="shared" si="2"/>
        <v>8.5</v>
      </c>
      <c r="L13" s="11">
        <f t="shared" si="4"/>
        <v>9.375</v>
      </c>
      <c r="M13" s="11">
        <f t="shared" si="5"/>
        <v>2.25</v>
      </c>
      <c r="N13" s="9">
        <v>1</v>
      </c>
      <c r="O13" s="9">
        <v>1</v>
      </c>
      <c r="P13" s="23" t="s">
        <v>490</v>
      </c>
      <c r="Q13" s="23" t="s">
        <v>491</v>
      </c>
      <c r="R13" s="9"/>
      <c r="S13" s="3"/>
    </row>
    <row r="14" spans="1:21" ht="18" customHeight="1" x14ac:dyDescent="0.2">
      <c r="A14" s="3">
        <v>14</v>
      </c>
      <c r="B14" s="3">
        <v>15</v>
      </c>
      <c r="C14" s="31" t="s">
        <v>493</v>
      </c>
      <c r="D14" s="30">
        <v>2</v>
      </c>
      <c r="E14" s="31" t="s">
        <v>492</v>
      </c>
      <c r="F14" s="30">
        <v>4</v>
      </c>
      <c r="G14" s="30">
        <v>2</v>
      </c>
      <c r="H14" s="30">
        <v>2.2000000000000002</v>
      </c>
      <c r="I14" s="17">
        <f t="shared" ref="I14" si="6">(F14*$I$2)+(G14*$I$3)</f>
        <v>9</v>
      </c>
      <c r="J14" s="9">
        <f t="shared" ref="J14" si="7">(F14*$I$4)+(G14*$I$5)+(H14*$I$7)</f>
        <v>3</v>
      </c>
      <c r="K14" s="10">
        <f t="shared" ref="K14" si="8">I14+J14</f>
        <v>12</v>
      </c>
      <c r="L14" s="11">
        <f t="shared" ref="L14" si="9">H14*$M$2</f>
        <v>13.750000000000002</v>
      </c>
      <c r="M14" s="11">
        <f t="shared" ref="M14" si="10">H14*$M$3</f>
        <v>3.3000000000000003</v>
      </c>
      <c r="N14" s="9">
        <v>1</v>
      </c>
      <c r="O14" s="9">
        <v>1</v>
      </c>
      <c r="P14" s="23" t="s">
        <v>494</v>
      </c>
      <c r="Q14" s="23"/>
      <c r="R14" s="9"/>
      <c r="S14" s="3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activeCell="J33" sqref="J33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8" t="s">
        <v>463</v>
      </c>
      <c r="L1" s="28" t="s">
        <v>463</v>
      </c>
      <c r="M1" s="28" t="s">
        <v>463</v>
      </c>
    </row>
    <row r="2" spans="1:21" s="3" customFormat="1" ht="20.100000000000001" customHeight="1" x14ac:dyDescent="0.2">
      <c r="A2" s="5" t="s">
        <v>460</v>
      </c>
      <c r="B2" s="5" t="s">
        <v>377</v>
      </c>
      <c r="C2" s="5">
        <v>52</v>
      </c>
      <c r="D2" s="5">
        <v>35</v>
      </c>
      <c r="E2" s="5">
        <v>29</v>
      </c>
      <c r="F2" s="9">
        <v>4</v>
      </c>
      <c r="G2" s="9">
        <v>16</v>
      </c>
      <c r="H2" s="23" t="s">
        <v>421</v>
      </c>
      <c r="I2" s="23" t="s">
        <v>405</v>
      </c>
      <c r="J2" s="9" t="s">
        <v>241</v>
      </c>
      <c r="K2" s="24" t="s">
        <v>332</v>
      </c>
      <c r="L2" s="11"/>
      <c r="U2" s="24"/>
    </row>
    <row r="3" spans="1:21" s="3" customFormat="1" ht="20.100000000000001" customHeight="1" x14ac:dyDescent="0.2">
      <c r="A3" s="5" t="s">
        <v>461</v>
      </c>
      <c r="B3" s="5" t="s">
        <v>409</v>
      </c>
      <c r="C3" s="5">
        <v>46</v>
      </c>
      <c r="D3" s="5">
        <v>50</v>
      </c>
      <c r="E3" s="5">
        <v>29</v>
      </c>
      <c r="F3" s="9">
        <v>6</v>
      </c>
      <c r="G3" s="9">
        <v>8</v>
      </c>
      <c r="H3" s="23" t="s">
        <v>422</v>
      </c>
      <c r="I3" s="23" t="s">
        <v>445</v>
      </c>
      <c r="J3" s="23" t="s">
        <v>414</v>
      </c>
      <c r="K3" s="24"/>
      <c r="L3" s="11"/>
      <c r="U3" s="24"/>
    </row>
    <row r="4" spans="1:21" s="3" customFormat="1" ht="20.100000000000001" customHeight="1" x14ac:dyDescent="0.2">
      <c r="A4" s="12" t="s">
        <v>462</v>
      </c>
      <c r="B4" s="12" t="s">
        <v>410</v>
      </c>
      <c r="C4" s="12">
        <v>52</v>
      </c>
      <c r="D4" s="12">
        <v>50</v>
      </c>
      <c r="E4" s="12">
        <v>30.5</v>
      </c>
      <c r="F4" s="9">
        <v>6</v>
      </c>
      <c r="G4" s="9">
        <v>12</v>
      </c>
      <c r="H4" s="23" t="s">
        <v>274</v>
      </c>
      <c r="I4" s="23" t="s">
        <v>430</v>
      </c>
      <c r="J4" s="23" t="s">
        <v>431</v>
      </c>
      <c r="L4" s="11"/>
      <c r="U4" s="24"/>
    </row>
    <row r="5" spans="1:21" s="3" customFormat="1" ht="20.100000000000001" customHeight="1" x14ac:dyDescent="0.2">
      <c r="A5" s="5" t="s">
        <v>446</v>
      </c>
      <c r="B5" s="5" t="s">
        <v>423</v>
      </c>
      <c r="C5" s="5">
        <v>58</v>
      </c>
      <c r="D5" s="5">
        <v>45</v>
      </c>
      <c r="E5" s="5">
        <v>31</v>
      </c>
      <c r="F5" s="9">
        <v>6</v>
      </c>
      <c r="G5" s="9">
        <v>12</v>
      </c>
      <c r="H5" s="23" t="s">
        <v>432</v>
      </c>
      <c r="I5" s="23" t="s">
        <v>364</v>
      </c>
      <c r="J5" s="23" t="s">
        <v>433</v>
      </c>
      <c r="L5" s="11"/>
      <c r="U5" s="24"/>
    </row>
    <row r="6" spans="1:21" s="3" customFormat="1" ht="20.100000000000001" customHeight="1" x14ac:dyDescent="0.2">
      <c r="A6" s="12" t="s">
        <v>447</v>
      </c>
      <c r="B6" s="12" t="s">
        <v>424</v>
      </c>
      <c r="C6" s="12">
        <v>64</v>
      </c>
      <c r="D6" s="12">
        <v>50</v>
      </c>
      <c r="E6" s="12">
        <v>33</v>
      </c>
      <c r="F6" s="9">
        <v>8</v>
      </c>
      <c r="G6" s="9">
        <v>14</v>
      </c>
      <c r="H6" s="23" t="s">
        <v>434</v>
      </c>
      <c r="I6" s="23" t="s">
        <v>414</v>
      </c>
      <c r="J6" s="23" t="s">
        <v>435</v>
      </c>
      <c r="L6" s="11"/>
      <c r="U6" s="24"/>
    </row>
    <row r="7" spans="1:21" s="3" customFormat="1" ht="20.100000000000001" customHeight="1" x14ac:dyDescent="0.2">
      <c r="A7" s="5" t="s">
        <v>448</v>
      </c>
      <c r="B7" s="5" t="s">
        <v>425</v>
      </c>
      <c r="C7" s="5">
        <v>68</v>
      </c>
      <c r="D7" s="5">
        <v>60</v>
      </c>
      <c r="E7" s="5">
        <v>32</v>
      </c>
      <c r="F7" s="9">
        <v>8</v>
      </c>
      <c r="G7" s="9">
        <v>14</v>
      </c>
      <c r="H7" s="23" t="s">
        <v>436</v>
      </c>
      <c r="I7" s="23" t="s">
        <v>274</v>
      </c>
      <c r="J7" s="23" t="s">
        <v>444</v>
      </c>
      <c r="K7" s="23" t="s">
        <v>437</v>
      </c>
      <c r="L7" s="11"/>
      <c r="U7" s="24"/>
    </row>
    <row r="8" spans="1:21" s="3" customFormat="1" ht="20.100000000000001" customHeight="1" x14ac:dyDescent="0.2">
      <c r="A8" s="5" t="s">
        <v>449</v>
      </c>
      <c r="B8" s="5" t="s">
        <v>426</v>
      </c>
      <c r="C8" s="5">
        <v>74</v>
      </c>
      <c r="D8" s="5">
        <v>45</v>
      </c>
      <c r="E8" s="5">
        <v>34</v>
      </c>
      <c r="F8" s="9">
        <v>8</v>
      </c>
      <c r="G8" s="9">
        <v>12</v>
      </c>
      <c r="H8" s="23" t="s">
        <v>420</v>
      </c>
      <c r="I8" s="23" t="s">
        <v>440</v>
      </c>
      <c r="J8" s="24" t="s">
        <v>293</v>
      </c>
      <c r="K8" s="24" t="s">
        <v>441</v>
      </c>
      <c r="L8" s="11"/>
    </row>
    <row r="9" spans="1:21" s="3" customFormat="1" ht="20.100000000000001" customHeight="1" x14ac:dyDescent="0.2">
      <c r="A9" s="5" t="s">
        <v>450</v>
      </c>
      <c r="B9" s="5" t="s">
        <v>427</v>
      </c>
      <c r="C9" s="5">
        <v>64</v>
      </c>
      <c r="D9" s="5">
        <v>72</v>
      </c>
      <c r="E9" s="5">
        <v>34</v>
      </c>
      <c r="F9" s="9">
        <v>10</v>
      </c>
      <c r="G9" s="9">
        <v>16</v>
      </c>
      <c r="H9" s="23" t="s">
        <v>438</v>
      </c>
      <c r="I9" s="23" t="s">
        <v>431</v>
      </c>
      <c r="J9" s="23" t="s">
        <v>439</v>
      </c>
      <c r="K9" s="11"/>
      <c r="L9" s="11"/>
    </row>
    <row r="10" spans="1:21" s="3" customFormat="1" ht="20.100000000000001" customHeight="1" x14ac:dyDescent="0.2">
      <c r="A10" s="12" t="s">
        <v>451</v>
      </c>
      <c r="B10" s="12" t="s">
        <v>428</v>
      </c>
      <c r="C10" s="12">
        <v>78</v>
      </c>
      <c r="D10" s="12">
        <v>57</v>
      </c>
      <c r="E10" s="12">
        <v>35</v>
      </c>
      <c r="F10" s="9">
        <v>8</v>
      </c>
      <c r="G10" s="9">
        <v>16</v>
      </c>
      <c r="H10" s="23" t="s">
        <v>443</v>
      </c>
      <c r="I10" s="23" t="s">
        <v>442</v>
      </c>
      <c r="J10" s="23" t="s">
        <v>435</v>
      </c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4.25" x14ac:dyDescent="0.2"/>
  <sheetData>
    <row r="5" spans="4:19" x14ac:dyDescent="0.2">
      <c r="F5" t="s">
        <v>256</v>
      </c>
      <c r="G5" t="s">
        <v>257</v>
      </c>
      <c r="J5" t="s">
        <v>258</v>
      </c>
      <c r="M5" t="s">
        <v>259</v>
      </c>
    </row>
    <row r="6" spans="4:19" x14ac:dyDescent="0.2">
      <c r="F6" t="s">
        <v>260</v>
      </c>
      <c r="G6" t="s">
        <v>260</v>
      </c>
      <c r="H6" t="s">
        <v>261</v>
      </c>
      <c r="I6" t="s">
        <v>262</v>
      </c>
      <c r="J6" t="s">
        <v>263</v>
      </c>
      <c r="K6" t="s">
        <v>261</v>
      </c>
      <c r="L6" t="s">
        <v>262</v>
      </c>
      <c r="M6" t="s">
        <v>261</v>
      </c>
      <c r="N6" t="s">
        <v>262</v>
      </c>
      <c r="Q6" s="1">
        <v>1</v>
      </c>
    </row>
    <row r="7" spans="4:19" x14ac:dyDescent="0.2">
      <c r="D7" t="s">
        <v>264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265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266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267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448.43749999999994</v>
      </c>
    </row>
    <row r="57" spans="17:19" x14ac:dyDescent="0.2">
      <c r="Q57">
        <f>Q55*$O$8</f>
        <v>52.5</v>
      </c>
    </row>
    <row r="59" spans="17:19" x14ac:dyDescent="0.2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材料</vt:lpstr>
      <vt:lpstr>特殊材料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2026-06-10T00:04:26Z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